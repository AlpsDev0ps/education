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o\OneDrive\Desktop\"/>
    </mc:Choice>
  </mc:AlternateContent>
  <bookViews>
    <workbookView xWindow="0" yWindow="0" windowWidth="23040" windowHeight="9072"/>
  </bookViews>
  <sheets>
    <sheet name="Лист1" sheetId="1" r:id="rId1"/>
    <sheet name="Лист2" sheetId="2" r:id="rId2"/>
    <sheet name="Лист3" sheetId="3" r:id="rId3"/>
  </sheets>
  <calcPr calcId="162913" fullCalcOnLoad="1"/>
</workbook>
</file>

<file path=xl/calcChain.xml><?xml version="1.0" encoding="utf-8"?>
<calcChain xmlns="http://schemas.openxmlformats.org/spreadsheetml/2006/main">
  <c r="L8" i="2" l="1"/>
  <c r="K8" i="2"/>
  <c r="J8" i="2"/>
  <c r="I8" i="2"/>
  <c r="H8" i="2"/>
  <c r="K7" i="2"/>
  <c r="J7" i="2"/>
  <c r="I7" i="2"/>
  <c r="H7" i="2"/>
  <c r="J6" i="2"/>
  <c r="I6" i="2"/>
  <c r="H6" i="2"/>
  <c r="I5" i="2"/>
  <c r="H5" i="2"/>
  <c r="H4" i="2"/>
  <c r="L6" i="3"/>
  <c r="K6" i="3"/>
  <c r="J6" i="3"/>
  <c r="I6" i="3"/>
  <c r="K5" i="3"/>
  <c r="J5" i="3"/>
  <c r="I5" i="3"/>
  <c r="J4" i="3"/>
  <c r="I4" i="3"/>
  <c r="I3" i="3"/>
  <c r="X6" i="2"/>
  <c r="W6" i="2"/>
  <c r="V6" i="2"/>
  <c r="W5" i="2"/>
  <c r="V5" i="2"/>
  <c r="V4" i="2"/>
  <c r="M8" i="1"/>
  <c r="L8" i="1"/>
  <c r="K8" i="1"/>
  <c r="J8" i="1"/>
  <c r="I8" i="1"/>
  <c r="L7" i="1"/>
  <c r="K7" i="1"/>
  <c r="J7" i="1"/>
  <c r="I7" i="1"/>
  <c r="K6" i="1"/>
  <c r="J6" i="1"/>
  <c r="I6" i="1"/>
  <c r="J5" i="1"/>
  <c r="I5" i="1"/>
  <c r="I4" i="1"/>
  <c r="H37" i="3"/>
  <c r="H36" i="3"/>
  <c r="H35" i="3"/>
  <c r="H34" i="3"/>
  <c r="I22" i="3"/>
  <c r="I21" i="3"/>
  <c r="I27" i="3" s="1"/>
  <c r="H12" i="3" a="1"/>
  <c r="K14" i="3" s="1"/>
  <c r="K41" i="2" a="1"/>
  <c r="K56" i="2" s="1"/>
  <c r="K41" i="2"/>
  <c r="H63" i="2"/>
  <c r="G63" i="2"/>
  <c r="I62" i="2"/>
  <c r="H62" i="2"/>
  <c r="G62" i="2"/>
  <c r="H59" i="2"/>
  <c r="G58" i="2"/>
  <c r="H52" i="2"/>
  <c r="G52" i="2"/>
  <c r="G41" i="2" a="1"/>
  <c r="I57" i="2" s="1"/>
  <c r="G41" i="2"/>
  <c r="K40" i="2"/>
  <c r="I40" i="2"/>
  <c r="H40" i="2"/>
  <c r="G40" i="2"/>
  <c r="X40" i="2" a="1"/>
  <c r="X57" i="2" s="1"/>
  <c r="X40" i="2"/>
  <c r="U40" i="2" a="1"/>
  <c r="V63" i="2" s="1"/>
  <c r="G38" i="2"/>
  <c r="X39" i="2"/>
  <c r="V39" i="2"/>
  <c r="U39" i="2"/>
  <c r="G37" i="2"/>
  <c r="G36" i="2"/>
  <c r="U37" i="2"/>
  <c r="G35" i="2"/>
  <c r="U36" i="2"/>
  <c r="U35" i="2"/>
  <c r="H23" i="2"/>
  <c r="H22" i="2"/>
  <c r="H28" i="2" s="1"/>
  <c r="V23" i="2"/>
  <c r="V22" i="2"/>
  <c r="V28" i="2" s="1"/>
  <c r="G13" i="2" a="1"/>
  <c r="U13" i="2" a="1"/>
  <c r="V13" i="2" s="1"/>
  <c r="Z34" i="2"/>
  <c r="L34" i="2"/>
  <c r="M34" i="2"/>
  <c r="N33" i="3"/>
  <c r="M33" i="3"/>
  <c r="AA34" i="2"/>
  <c r="U40" i="2" l="1"/>
  <c r="V48" i="2"/>
  <c r="U49" i="2"/>
  <c r="V49" i="2"/>
  <c r="V51" i="2"/>
  <c r="U54" i="2"/>
  <c r="U56" i="2"/>
  <c r="V56" i="2"/>
  <c r="X59" i="2"/>
  <c r="V47" i="2"/>
  <c r="U48" i="2"/>
  <c r="X60" i="2"/>
  <c r="X42" i="2"/>
  <c r="X61" i="2"/>
  <c r="X43" i="2"/>
  <c r="X62" i="2"/>
  <c r="U15" i="2"/>
  <c r="V20" i="2" s="1"/>
  <c r="X44" i="2"/>
  <c r="X63" i="2"/>
  <c r="U16" i="2"/>
  <c r="X45" i="2"/>
  <c r="W17" i="2"/>
  <c r="X46" i="2"/>
  <c r="X47" i="2"/>
  <c r="X48" i="2"/>
  <c r="U57" i="2"/>
  <c r="X49" i="2"/>
  <c r="V41" i="2"/>
  <c r="V57" i="2"/>
  <c r="X50" i="2"/>
  <c r="U42" i="2"/>
  <c r="V59" i="2"/>
  <c r="X51" i="2"/>
  <c r="G47" i="2"/>
  <c r="V43" i="2"/>
  <c r="U62" i="2"/>
  <c r="X53" i="2"/>
  <c r="H47" i="2"/>
  <c r="U46" i="2"/>
  <c r="V62" i="2"/>
  <c r="X54" i="2"/>
  <c r="I48" i="2"/>
  <c r="V46" i="2"/>
  <c r="U63" i="2"/>
  <c r="X55" i="2"/>
  <c r="H50" i="2"/>
  <c r="U47" i="2"/>
  <c r="X58" i="2"/>
  <c r="I50" i="2"/>
  <c r="I52" i="2"/>
  <c r="I64" i="2"/>
  <c r="G42" i="2"/>
  <c r="G54" i="2"/>
  <c r="H43" i="2"/>
  <c r="I55" i="2"/>
  <c r="G45" i="2"/>
  <c r="G56" i="2"/>
  <c r="K62" i="2"/>
  <c r="H45" i="2"/>
  <c r="H56" i="2"/>
  <c r="I45" i="2"/>
  <c r="I56" i="2"/>
  <c r="G46" i="2"/>
  <c r="G57" i="2"/>
  <c r="H46" i="2"/>
  <c r="H57" i="2"/>
  <c r="I46" i="2"/>
  <c r="G16" i="2"/>
  <c r="H15" i="2"/>
  <c r="H21" i="2" s="1"/>
  <c r="J15" i="2"/>
  <c r="I15" i="2"/>
  <c r="J14" i="2"/>
  <c r="I14" i="2"/>
  <c r="K42" i="2"/>
  <c r="J13" i="2"/>
  <c r="K51" i="2"/>
  <c r="K52" i="2"/>
  <c r="J12" i="3"/>
  <c r="K55" i="2"/>
  <c r="J14" i="3"/>
  <c r="H14" i="3"/>
  <c r="K13" i="3"/>
  <c r="I14" i="3"/>
  <c r="I20" i="3" s="1"/>
  <c r="I13" i="3"/>
  <c r="H13" i="3"/>
  <c r="K16" i="3"/>
  <c r="K12" i="3"/>
  <c r="U13" i="2"/>
  <c r="G14" i="2"/>
  <c r="I12" i="3"/>
  <c r="G15" i="2"/>
  <c r="I16" i="2"/>
  <c r="V61" i="2"/>
  <c r="V53" i="2"/>
  <c r="V45" i="2"/>
  <c r="U60" i="2"/>
  <c r="U52" i="2"/>
  <c r="U44" i="2"/>
  <c r="U61" i="2"/>
  <c r="U53" i="2"/>
  <c r="U45" i="2"/>
  <c r="V60" i="2"/>
  <c r="V52" i="2"/>
  <c r="V44" i="2"/>
  <c r="U59" i="2"/>
  <c r="U51" i="2"/>
  <c r="U43" i="2"/>
  <c r="V58" i="2"/>
  <c r="V50" i="2"/>
  <c r="V42" i="2"/>
  <c r="U58" i="2"/>
  <c r="U50" i="2"/>
  <c r="V54" i="2"/>
  <c r="I60" i="2"/>
  <c r="H55" i="2"/>
  <c r="G50" i="2"/>
  <c r="I44" i="2"/>
  <c r="I59" i="2"/>
  <c r="H54" i="2"/>
  <c r="G49" i="2"/>
  <c r="I43" i="2"/>
  <c r="H60" i="2"/>
  <c r="G55" i="2"/>
  <c r="I49" i="2"/>
  <c r="H44" i="2"/>
  <c r="G60" i="2"/>
  <c r="I54" i="2"/>
  <c r="H49" i="2"/>
  <c r="G44" i="2"/>
  <c r="H64" i="2"/>
  <c r="G59" i="2"/>
  <c r="I53" i="2"/>
  <c r="H48" i="2"/>
  <c r="G43" i="2"/>
  <c r="G64" i="2"/>
  <c r="I58" i="2"/>
  <c r="H53" i="2"/>
  <c r="G48" i="2"/>
  <c r="I42" i="2"/>
  <c r="I63" i="2"/>
  <c r="H58" i="2"/>
  <c r="G53" i="2"/>
  <c r="I47" i="2"/>
  <c r="H42" i="2"/>
  <c r="G51" i="2"/>
  <c r="G61" i="2"/>
  <c r="H15" i="3"/>
  <c r="K15" i="3"/>
  <c r="H16" i="3"/>
  <c r="J17" i="2"/>
  <c r="K50" i="2"/>
  <c r="K48" i="2"/>
  <c r="K63" i="2"/>
  <c r="K47" i="2"/>
  <c r="K49" i="2"/>
  <c r="K64" i="2"/>
  <c r="K61" i="2"/>
  <c r="K45" i="2"/>
  <c r="K60" i="2"/>
  <c r="K44" i="2"/>
  <c r="K59" i="2"/>
  <c r="K43" i="2"/>
  <c r="H13" i="2"/>
  <c r="I13" i="2"/>
  <c r="K46" i="2"/>
  <c r="H12" i="3"/>
  <c r="K53" i="2"/>
  <c r="K54" i="2"/>
  <c r="J13" i="3"/>
  <c r="H17" i="2"/>
  <c r="I17" i="2"/>
  <c r="I16" i="3"/>
  <c r="J16" i="3"/>
  <c r="G13" i="2"/>
  <c r="V17" i="2"/>
  <c r="V16" i="2"/>
  <c r="V29" i="2" s="1"/>
  <c r="U17" i="2"/>
  <c r="W16" i="2"/>
  <c r="W15" i="2"/>
  <c r="V15" i="2"/>
  <c r="V21" i="2" s="1"/>
  <c r="H14" i="2"/>
  <c r="W13" i="2"/>
  <c r="H16" i="2"/>
  <c r="H29" i="2" s="1"/>
  <c r="U14" i="2"/>
  <c r="V14" i="2"/>
  <c r="J16" i="2"/>
  <c r="V40" i="2"/>
  <c r="U55" i="2"/>
  <c r="H41" i="2"/>
  <c r="H51" i="2"/>
  <c r="H61" i="2"/>
  <c r="K57" i="2"/>
  <c r="I15" i="3"/>
  <c r="I28" i="3" s="1"/>
  <c r="W14" i="2"/>
  <c r="G17" i="2"/>
  <c r="U41" i="2"/>
  <c r="V55" i="2"/>
  <c r="I41" i="2"/>
  <c r="I51" i="2"/>
  <c r="I61" i="2"/>
  <c r="K58" i="2"/>
  <c r="J15" i="3"/>
  <c r="X52" i="2"/>
  <c r="X56" i="2"/>
  <c r="X41" i="2"/>
  <c r="V35" i="2" l="1" a="1"/>
  <c r="V36" i="2" s="1"/>
  <c r="Z28" i="2"/>
  <c r="V24" i="2"/>
  <c r="Y28" i="2"/>
  <c r="H35" i="2" a="1"/>
  <c r="H37" i="2" s="1"/>
  <c r="J28" i="3"/>
  <c r="K28" i="3"/>
  <c r="J29" i="2"/>
  <c r="I29" i="2"/>
  <c r="H24" i="2"/>
  <c r="H20" i="2"/>
  <c r="H35" i="2"/>
  <c r="H38" i="2"/>
  <c r="I30" i="2"/>
  <c r="J28" i="2"/>
  <c r="I28" i="2"/>
  <c r="W35" i="2" a="1"/>
  <c r="I34" i="3" a="1"/>
  <c r="I35" i="2" a="1"/>
  <c r="W28" i="2"/>
  <c r="X28" i="2"/>
  <c r="W30" i="2"/>
  <c r="J27" i="3"/>
  <c r="J29" i="3"/>
  <c r="K27" i="3"/>
  <c r="X29" i="2"/>
  <c r="W29" i="2"/>
  <c r="L27" i="3"/>
  <c r="M27" i="3"/>
  <c r="L28" i="2"/>
  <c r="K28" i="2"/>
  <c r="H30" i="2"/>
  <c r="J34" i="3" a="1"/>
  <c r="I29" i="3"/>
  <c r="I23" i="3"/>
  <c r="I19" i="3"/>
  <c r="V30" i="2"/>
  <c r="V37" i="2" l="1"/>
  <c r="S20" i="2" s="1"/>
  <c r="V35" i="2"/>
  <c r="H36" i="2"/>
  <c r="J41" i="2" s="1" a="1"/>
  <c r="J63" i="2" s="1"/>
  <c r="J59" i="2"/>
  <c r="J43" i="2"/>
  <c r="J56" i="2"/>
  <c r="J41" i="2"/>
  <c r="J58" i="2"/>
  <c r="J42" i="2"/>
  <c r="J57" i="2"/>
  <c r="J54" i="2"/>
  <c r="J53" i="2"/>
  <c r="J52" i="2"/>
  <c r="J60" i="2"/>
  <c r="J55" i="2"/>
  <c r="J64" i="2"/>
  <c r="J48" i="2"/>
  <c r="J45" i="2"/>
  <c r="J62" i="2"/>
  <c r="J61" i="2"/>
  <c r="J51" i="2"/>
  <c r="J47" i="2"/>
  <c r="J50" i="2"/>
  <c r="J46" i="2"/>
  <c r="J44" i="2"/>
  <c r="S15" i="2"/>
  <c r="S23" i="2"/>
  <c r="S12" i="2"/>
  <c r="S24" i="2"/>
  <c r="S14" i="2"/>
  <c r="S13" i="2"/>
  <c r="S21" i="2"/>
  <c r="S10" i="2"/>
  <c r="S26" i="2"/>
  <c r="X35" i="2" a="1"/>
  <c r="S19" i="2"/>
  <c r="S6" i="2"/>
  <c r="S11" i="2"/>
  <c r="S7" i="2"/>
  <c r="S18" i="2"/>
  <c r="S17" i="2"/>
  <c r="S5" i="2"/>
  <c r="S4" i="2"/>
  <c r="S16" i="2"/>
  <c r="S25" i="2"/>
  <c r="W40" i="2" a="1"/>
  <c r="I35" i="2"/>
  <c r="I37" i="2"/>
  <c r="I38" i="2"/>
  <c r="I36" i="2"/>
  <c r="J35" i="2" s="1" a="1"/>
  <c r="I37" i="3"/>
  <c r="I36" i="3"/>
  <c r="I35" i="3"/>
  <c r="I34" i="3"/>
  <c r="J37" i="3"/>
  <c r="J35" i="3"/>
  <c r="J36" i="3"/>
  <c r="J34" i="3"/>
  <c r="W37" i="2"/>
  <c r="AA35" i="2" s="1" a="1"/>
  <c r="W35" i="2"/>
  <c r="W36" i="2"/>
  <c r="S27" i="2" l="1"/>
  <c r="S22" i="2"/>
  <c r="S9" i="2"/>
  <c r="S8" i="2"/>
  <c r="Z35" i="2" a="1"/>
  <c r="Z35" i="2" s="1"/>
  <c r="J49" i="2"/>
  <c r="J38" i="2"/>
  <c r="J36" i="2"/>
  <c r="J37" i="2"/>
  <c r="J35" i="2"/>
  <c r="K35" i="2" s="1" a="1"/>
  <c r="F23" i="3"/>
  <c r="F12" i="3"/>
  <c r="F20" i="3"/>
  <c r="F9" i="3"/>
  <c r="F22" i="3"/>
  <c r="F11" i="3"/>
  <c r="F21" i="3"/>
  <c r="F10" i="3"/>
  <c r="F18" i="3"/>
  <c r="F7" i="3"/>
  <c r="F17" i="3"/>
  <c r="F6" i="3"/>
  <c r="F5" i="3"/>
  <c r="M34" i="3" a="1"/>
  <c r="F13" i="3"/>
  <c r="F8" i="3"/>
  <c r="N34" i="3" a="1"/>
  <c r="F26" i="3"/>
  <c r="F25" i="3"/>
  <c r="F15" i="3"/>
  <c r="F19" i="3"/>
  <c r="F14" i="3"/>
  <c r="F4" i="3"/>
  <c r="K34" i="3" a="1"/>
  <c r="F27" i="3"/>
  <c r="F24" i="3"/>
  <c r="F16" i="3"/>
  <c r="M35" i="2" a="1"/>
  <c r="X36" i="2"/>
  <c r="X37" i="2"/>
  <c r="X35" i="2"/>
  <c r="Y35" i="2" s="1" a="1"/>
  <c r="AA37" i="2"/>
  <c r="AA35" i="2"/>
  <c r="AA36" i="2"/>
  <c r="L35" i="2" a="1"/>
  <c r="W50" i="2"/>
  <c r="W63" i="2"/>
  <c r="W47" i="2"/>
  <c r="W49" i="2"/>
  <c r="W48" i="2"/>
  <c r="W61" i="2"/>
  <c r="W45" i="2"/>
  <c r="W60" i="2"/>
  <c r="W44" i="2"/>
  <c r="W59" i="2"/>
  <c r="W43" i="2"/>
  <c r="W52" i="2"/>
  <c r="W51" i="2"/>
  <c r="W42" i="2"/>
  <c r="W41" i="2"/>
  <c r="W57" i="2"/>
  <c r="W55" i="2"/>
  <c r="W53" i="2"/>
  <c r="W58" i="2"/>
  <c r="W56" i="2"/>
  <c r="W54" i="2"/>
  <c r="W46" i="2"/>
  <c r="W40" i="2"/>
  <c r="W62" i="2"/>
  <c r="L41" i="2" a="1"/>
  <c r="Z37" i="2" l="1"/>
  <c r="Z36" i="2"/>
  <c r="L36" i="2"/>
  <c r="L35" i="2"/>
  <c r="L38" i="2"/>
  <c r="L37" i="2"/>
  <c r="Y35" i="2"/>
  <c r="Y37" i="2"/>
  <c r="Y36" i="2"/>
  <c r="M37" i="2"/>
  <c r="M36" i="2"/>
  <c r="M38" i="2"/>
  <c r="M35" i="2"/>
  <c r="K37" i="3"/>
  <c r="K36" i="3"/>
  <c r="K34" i="3"/>
  <c r="K35" i="3"/>
  <c r="M35" i="3"/>
  <c r="M37" i="3"/>
  <c r="M36" i="3"/>
  <c r="M34" i="3"/>
  <c r="L57" i="2"/>
  <c r="L55" i="2"/>
  <c r="L54" i="2"/>
  <c r="L56" i="2"/>
  <c r="L41" i="2"/>
  <c r="L52" i="2"/>
  <c r="L51" i="2"/>
  <c r="L50" i="2"/>
  <c r="L63" i="2"/>
  <c r="L62" i="2"/>
  <c r="L43" i="2"/>
  <c r="L59" i="2"/>
  <c r="L58" i="2"/>
  <c r="L48" i="2"/>
  <c r="L46" i="2"/>
  <c r="L45" i="2"/>
  <c r="L44" i="2"/>
  <c r="L42" i="2"/>
  <c r="L64" i="2"/>
  <c r="L61" i="2"/>
  <c r="L53" i="2"/>
  <c r="L60" i="2"/>
  <c r="L49" i="2"/>
  <c r="L47" i="2"/>
  <c r="N34" i="3"/>
  <c r="N37" i="3"/>
  <c r="N36" i="3"/>
  <c r="N35" i="3"/>
  <c r="K36" i="2"/>
  <c r="K35" i="2"/>
  <c r="K38" i="2"/>
  <c r="K37" i="2"/>
  <c r="Y40" i="2" a="1"/>
  <c r="L34" i="3" l="1" a="1"/>
  <c r="Y48" i="2"/>
  <c r="Y61" i="2"/>
  <c r="Y45" i="2"/>
  <c r="Y63" i="2"/>
  <c r="Y47" i="2"/>
  <c r="Y62" i="2"/>
  <c r="Y46" i="2"/>
  <c r="Y59" i="2"/>
  <c r="Y43" i="2"/>
  <c r="Y58" i="2"/>
  <c r="Y42" i="2"/>
  <c r="Y57" i="2"/>
  <c r="Y41" i="2"/>
  <c r="Y49" i="2"/>
  <c r="Y44" i="2"/>
  <c r="Y40" i="2"/>
  <c r="Y54" i="2"/>
  <c r="Y52" i="2"/>
  <c r="Y60" i="2"/>
  <c r="Y55" i="2"/>
  <c r="Y53" i="2"/>
  <c r="Y51" i="2"/>
  <c r="Y50" i="2"/>
  <c r="Y56" i="2"/>
  <c r="L37" i="3" l="1"/>
  <c r="L36" i="3"/>
  <c r="L35" i="3"/>
  <c r="L34" i="3"/>
</calcChain>
</file>

<file path=xl/sharedStrings.xml><?xml version="1.0" encoding="utf-8"?>
<sst xmlns="http://schemas.openxmlformats.org/spreadsheetml/2006/main" count="165" uniqueCount="51">
  <si>
    <t>№</t>
  </si>
  <si>
    <t>Количество преступлений</t>
  </si>
  <si>
    <t>Численность населения</t>
  </si>
  <si>
    <t>Количество осужденных</t>
  </si>
  <si>
    <t>Количество раскрытых преступлений</t>
  </si>
  <si>
    <t>Численность мигрантов</t>
  </si>
  <si>
    <t>п/п</t>
  </si>
  <si>
    <t>Y</t>
  </si>
  <si>
    <t>X1</t>
  </si>
  <si>
    <t>X2</t>
  </si>
  <si>
    <t>X3</t>
  </si>
  <si>
    <t>X4</t>
  </si>
  <si>
    <t>Корреляции</t>
  </si>
  <si>
    <t>Столбец 1</t>
  </si>
  <si>
    <t>Столбец 2</t>
  </si>
  <si>
    <t>Столбец 3</t>
  </si>
  <si>
    <t>Столбец 4</t>
  </si>
  <si>
    <t>Столбец 5</t>
  </si>
  <si>
    <t>Проверка</t>
  </si>
  <si>
    <r>
      <rPr>
        <b/>
        <sz val="10"/>
        <color theme="1"/>
        <rFont val="Liberation Sans"/>
        <charset val="204"/>
      </rPr>
      <t>Регрессия</t>
    </r>
  </si>
  <si>
    <t>Регрессионная модель</t>
  </si>
  <si>
    <t>Линейная</t>
  </si>
  <si>
    <t>Необработанный вывод ЛИНЕЙН</t>
  </si>
  <si>
    <t>Статистика регрессии</t>
  </si>
  <si>
    <t>R^2</t>
  </si>
  <si>
    <t>Стандартная ошибка</t>
  </si>
  <si>
    <t>Число переменных X</t>
  </si>
  <si>
    <t>Наблюдения</t>
  </si>
  <si>
    <t>Первая зависимость:</t>
  </si>
  <si>
    <t>Скорректированный R^2</t>
  </si>
  <si>
    <t>Y = -19,925 + 0,639 * X1 +1,937 * X2, R^2 = 0,906</t>
  </si>
  <si>
    <t>Дисперсионный анализ (ANOVA)</t>
  </si>
  <si>
    <t>df</t>
  </si>
  <si>
    <t>SS</t>
  </si>
  <si>
    <t>MS</t>
  </si>
  <si>
    <t>F</t>
  </si>
  <si>
    <t>Значимость F</t>
  </si>
  <si>
    <t>Регрессия</t>
  </si>
  <si>
    <t>Остатки</t>
  </si>
  <si>
    <t>Итог</t>
  </si>
  <si>
    <t>Уровень доверия</t>
  </si>
  <si>
    <t>Коэффициенты</t>
  </si>
  <si>
    <t>t-статистика</t>
  </si>
  <si>
    <t>P-значение</t>
  </si>
  <si>
    <t>Прогнозное Y</t>
  </si>
  <si>
    <t>Y = -20,209 + 0,004 * X2 + 0,0002 *X3 + 9,466^-11 * X4, R^2 = 0,952</t>
  </si>
  <si>
    <t>Столбец1</t>
  </si>
  <si>
    <t>Вариант 3</t>
  </si>
  <si>
    <t>Необработанный вывод ЛИНЕЙНАЯ</t>
  </si>
  <si>
    <r>
      <rPr>
        <b/>
        <i/>
        <sz val="12"/>
        <color theme="0"/>
        <rFont val="Liberation Sans"/>
        <charset val="204"/>
      </rPr>
      <t>Регрессия</t>
    </r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</si>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</sst>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rgb="FF000000"/>
      <name val="Liberation Sans"/>
      <charset val="204"/>
    </font>
    <font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sz val="12"/>
      <color theme="1"/>
      <name val="PT Astra Sans"/>
      <family val="2"/>
      <charset val="204"/>
    </font>
    <font>
      <b/>
      <sz val="10"/>
      <color rgb="FFFFFFFF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10"/>
      <color theme="1"/>
      <name val="Liberation Sans"/>
      <charset val="204"/>
    </font>
    <font>
      <sz val="18"/>
      <color rgb="FF000000"/>
      <name val="Liberation Sans"/>
      <charset val="204"/>
    </font>
    <font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  <font>
      <sz val="12"/>
      <color rgb="FF00000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i/>
      <sz val="10"/>
      <color theme="1"/>
      <name val="Liberation Sans"/>
      <charset val="204"/>
    </font>
    <font>
      <b/>
      <i/>
      <sz val="14"/>
      <color theme="0"/>
      <name val="Liberation Sans"/>
      <charset val="204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Liberation Sans"/>
      <charset val="204"/>
    </font>
    <font>
      <i/>
      <sz val="12"/>
      <color theme="0"/>
      <name val="Liberation Sans"/>
      <charset val="204"/>
    </font>
    <font>
      <b/>
      <i/>
      <sz val="12"/>
      <color theme="0"/>
      <name val="Liberation Sans"/>
      <charset val="204"/>
    </font>
    <font>
      <sz val="10"/>
      <color theme="0"/>
      <name val="Liberation Sans"/>
      <charset val="204"/>
    </font>
    <font>
      <b/>
      <sz val="12"/>
      <color theme="0"/>
      <name val="Liberation Sans"/>
      <charset val="204"/>
    </font>
    <font>
      <b/>
      <sz val="10"/>
      <color theme="0"/>
      <name val="Liberation Sans"/>
      <charset val="204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10D0C"/>
        <bgColor rgb="FFF10D0C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FF0000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>
      <alignment vertical="top" wrapText="1"/>
    </xf>
    <xf numFmtId="0" fontId="6" fillId="6" borderId="0"/>
    <xf numFmtId="0" fontId="7" fillId="0" borderId="0"/>
    <xf numFmtId="0" fontId="8" fillId="7" borderId="0"/>
    <xf numFmtId="0" fontId="9" fillId="0" borderId="0">
      <alignment horizontal="center" vertical="center"/>
    </xf>
    <xf numFmtId="0" fontId="10" fillId="0" borderId="0"/>
    <xf numFmtId="0" fontId="11" fillId="0" borderId="0"/>
    <xf numFmtId="0" fontId="12" fillId="0" borderId="0"/>
    <xf numFmtId="0" fontId="13" fillId="8" borderId="0"/>
    <xf numFmtId="0" fontId="14" fillId="8" borderId="1"/>
    <xf numFmtId="0" fontId="15" fillId="0" borderId="0"/>
    <xf numFmtId="0" fontId="1" fillId="0" borderId="0"/>
    <xf numFmtId="0" fontId="1" fillId="0" borderId="0"/>
    <xf numFmtId="0" fontId="4" fillId="0" borderId="0"/>
  </cellStyleXfs>
  <cellXfs count="46">
    <xf numFmtId="0" fontId="0" fillId="0" borderId="0" xfId="0"/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3" xfId="0" applyFill="1" applyBorder="1"/>
    <xf numFmtId="0" fontId="18" fillId="11" borderId="0" xfId="0" applyFont="1" applyFill="1" applyAlignment="1">
      <alignment horizontal="center"/>
    </xf>
    <xf numFmtId="0" fontId="19" fillId="11" borderId="0" xfId="0" applyFont="1" applyFill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top"/>
    </xf>
    <xf numFmtId="0" fontId="0" fillId="0" borderId="13" xfId="0" applyFill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2" fillId="12" borderId="14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13" borderId="13" xfId="0" applyNumberForma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0" fillId="9" borderId="13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26" fillId="12" borderId="13" xfId="0" applyFont="1" applyFill="1" applyBorder="1" applyAlignment="1">
      <alignment horizontal="center" vertical="center" wrapText="1"/>
    </xf>
    <xf numFmtId="1" fontId="0" fillId="10" borderId="0" xfId="0" applyNumberFormat="1" applyFill="1" applyAlignment="1">
      <alignment horizontal="center" vertical="center" wrapText="1"/>
    </xf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te" xfId="15"/>
    <cellStyle name="Result" xfId="16"/>
    <cellStyle name="Status" xfId="17"/>
    <cellStyle name="Text" xfId="18"/>
    <cellStyle name="Warning" xfId="19"/>
    <cellStyle name="Обычный" xfId="0" builtinId="0" customBuiltin="1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fill>
        <patternFill patternType="solid">
          <fgColor rgb="FFF10D0C"/>
          <bgColor rgb="FFF10D0C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fill>
        <patternFill patternType="solid">
          <fgColor rgb="FFFF0000"/>
          <bgColor rgb="FFFF000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border outline="0">
        <left style="thin">
          <color rgb="FF000000"/>
        </left>
      </border>
    </dxf>
    <dxf>
      <font>
        <b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Таблица6" displayName="Таблица6" ref="A2:F26" totalsRowShown="0" headerRowDxfId="41" dataDxfId="43" tableBorderDxfId="42">
  <autoFilter ref="A2:F26"/>
  <tableColumns count="6">
    <tableColumn id="1" name="№" dataDxfId="49"/>
    <tableColumn id="2" name="Количество преступлений" dataDxfId="48"/>
    <tableColumn id="3" name="Численность населения" dataDxfId="47"/>
    <tableColumn id="4" name="Количество осужденных" dataDxfId="46"/>
    <tableColumn id="5" name="Количество раскрытых преступлений" dataDxfId="45"/>
    <tableColumn id="6" name="Численность мигрантов" dataDxfId="44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7" name="Таблица7" displayName="Таблица7" ref="H2:M8" totalsRowShown="0" headerRowDxfId="16" dataDxfId="17" headerRowBorderDxfId="40">
  <autoFilter ref="H2:M8"/>
  <tableColumns count="6">
    <tableColumn id="1" name="Столбец1" dataDxfId="23"/>
    <tableColumn id="2" name="Y" dataDxfId="22"/>
    <tableColumn id="3" name="X1" dataDxfId="21"/>
    <tableColumn id="4" name="X2" dataDxfId="20"/>
    <tableColumn id="5" name="X3" dataDxfId="19"/>
    <tableColumn id="6" name="X4" dataDxfId="18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8" name="Таблица8" displayName="Таблица8" ref="A2:E27" totalsRowShown="0" headerRowDxfId="32" tableBorderDxfId="33">
  <autoFilter ref="A2:E27"/>
  <tableColumns count="5">
    <tableColumn id="1" name="№" dataDxfId="39"/>
    <tableColumn id="2" name="Количество преступлений" dataDxfId="38"/>
    <tableColumn id="3" name="Численность населения" dataDxfId="37"/>
    <tableColumn id="4" name="Количество осужденных" dataDxfId="36"/>
    <tableColumn id="5" name="Численность мигрантов" dataDxfId="35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id="9" name="Таблица710" displayName="Таблица710" ref="G2:L8" totalsRowShown="0" headerRowDxfId="24" dataDxfId="25" headerRowBorderDxfId="34">
  <autoFilter ref="G2:L8"/>
  <tableColumns count="6">
    <tableColumn id="1" name="Столбец1" dataDxfId="31"/>
    <tableColumn id="2" name="Y" dataDxfId="30"/>
    <tableColumn id="3" name="X1" dataDxfId="29"/>
    <tableColumn id="4" name="X2" dataDxfId="28"/>
    <tableColumn id="5" name="X3" dataDxfId="27"/>
    <tableColumn id="6" name="X4" dataDxfId="26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id="11" name="Таблица11" displayName="Таблица11" ref="O2:S27" totalsRowShown="0" headerRowDxfId="9" dataDxfId="8" tableBorderDxfId="15">
  <autoFilter ref="O2:S27"/>
  <tableColumns count="5">
    <tableColumn id="1" name="№" dataDxfId="14"/>
    <tableColumn id="2" name="Количество преступлений" dataDxfId="13"/>
    <tableColumn id="3" name="Количество осужденных" dataDxfId="12"/>
    <tableColumn id="4" name="Численность мигрантов" dataDxfId="11"/>
    <tableColumn id="5" name="ПРОВЕРКА" dataDxfId="10">
      <calculatedColumnFormula>$V$35+$V$36*Q3+$V$37*R3</calculatedColumnFormula>
    </tableColumn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id="12" name="Таблица12" displayName="Таблица12" ref="A2:F28" totalsRowShown="0" headerRowDxfId="1" dataDxfId="0">
  <autoFilter ref="A2:F28"/>
  <tableColumns count="6">
    <tableColumn id="1" name="№" dataDxfId="7"/>
    <tableColumn id="2" name="Количество преступлений" dataDxfId="6"/>
    <tableColumn id="3" name="Количество осужденных" dataDxfId="5"/>
    <tableColumn id="4" name="Количество раскрытых преступлений" dataDxfId="4"/>
    <tableColumn id="5" name="Численность мигрантов" dataDxfId="3"/>
    <tableColumn id="6" name="Столбец1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zoomScale="73" workbookViewId="0">
      <selection activeCell="I16" sqref="I16"/>
    </sheetView>
  </sheetViews>
  <sheetFormatPr defaultRowHeight="15"/>
  <cols>
    <col min="1" max="1" width="11.88671875" customWidth="1"/>
    <col min="2" max="2" width="21" customWidth="1"/>
    <col min="3" max="3" width="21.44140625" customWidth="1"/>
    <col min="4" max="4" width="19.5546875" customWidth="1"/>
    <col min="5" max="5" width="20.6640625" customWidth="1"/>
    <col min="6" max="6" width="19.33203125" customWidth="1"/>
    <col min="7" max="7" width="3.77734375" customWidth="1"/>
    <col min="8" max="13" width="11.88671875" customWidth="1"/>
  </cols>
  <sheetData>
    <row r="1" spans="1:13" ht="20.399999999999999" customHeight="1">
      <c r="A1" s="17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6.8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4" t="s">
        <v>5</v>
      </c>
      <c r="H2" s="23" t="s">
        <v>46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</row>
    <row r="3" spans="1:13" ht="15.6">
      <c r="A3" s="1">
        <v>1</v>
      </c>
      <c r="B3" s="1">
        <v>60</v>
      </c>
      <c r="C3" s="1">
        <v>65000</v>
      </c>
      <c r="D3" s="1">
        <v>35</v>
      </c>
      <c r="E3" s="1">
        <v>59</v>
      </c>
      <c r="F3" s="7">
        <v>31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</row>
    <row r="4" spans="1:13" ht="15.6">
      <c r="A4" s="1">
        <v>2</v>
      </c>
      <c r="B4" s="1">
        <v>34</v>
      </c>
      <c r="C4" s="1">
        <v>35500</v>
      </c>
      <c r="D4" s="1">
        <v>22</v>
      </c>
      <c r="E4" s="1">
        <v>24</v>
      </c>
      <c r="F4" s="7">
        <v>22</v>
      </c>
      <c r="H4" s="24" t="s">
        <v>13</v>
      </c>
      <c r="I4" s="24">
        <f>CORREL(Лист1!$B$3:$B$26, Лист1!$B$3:$B$26)</f>
        <v>1</v>
      </c>
      <c r="J4" s="24"/>
      <c r="K4" s="24"/>
      <c r="L4" s="24"/>
      <c r="M4" s="24"/>
    </row>
    <row r="5" spans="1:13" ht="15.6">
      <c r="A5" s="1">
        <v>3</v>
      </c>
      <c r="B5" s="1">
        <v>56</v>
      </c>
      <c r="C5" s="1">
        <v>60000</v>
      </c>
      <c r="D5" s="1">
        <v>32</v>
      </c>
      <c r="E5" s="1">
        <v>54</v>
      </c>
      <c r="F5" s="7">
        <v>27</v>
      </c>
      <c r="H5" s="24" t="s">
        <v>14</v>
      </c>
      <c r="I5" s="24">
        <f>CORREL(Лист1!$B$3:$B$26, Лист1!$C$3:$C$26)</f>
        <v>0.87396683817596221</v>
      </c>
      <c r="J5" s="24">
        <f>CORREL(Лист1!$C$3:$C$26, Лист1!$C$3:$C$26)</f>
        <v>1</v>
      </c>
      <c r="K5" s="24"/>
      <c r="L5" s="24"/>
      <c r="M5" s="24"/>
    </row>
    <row r="6" spans="1:13" ht="15.6">
      <c r="A6" s="1">
        <v>4</v>
      </c>
      <c r="B6" s="1">
        <v>30</v>
      </c>
      <c r="C6" s="1">
        <v>35000</v>
      </c>
      <c r="D6" s="1">
        <v>16</v>
      </c>
      <c r="E6" s="1">
        <v>20</v>
      </c>
      <c r="F6" s="7">
        <v>17</v>
      </c>
      <c r="H6" s="24" t="s">
        <v>15</v>
      </c>
      <c r="I6" s="24">
        <f>CORREL(Лист1!$B$3:$B$26, Лист1!$D$3:$D$26)</f>
        <v>0.70450764326061499</v>
      </c>
      <c r="J6" s="24">
        <f>CORREL(Лист1!$C$3:$C$26, Лист1!$D$3:$D$26)</f>
        <v>0.6376572692288256</v>
      </c>
      <c r="K6" s="24">
        <f>CORREL(Лист1!$D$3:$D$26, Лист1!$D$3:$D$26)</f>
        <v>0.99999999999999978</v>
      </c>
      <c r="L6" s="24"/>
      <c r="M6" s="24"/>
    </row>
    <row r="7" spans="1:13" ht="15.6">
      <c r="A7" s="1">
        <v>5</v>
      </c>
      <c r="B7" s="1">
        <v>56</v>
      </c>
      <c r="C7" s="1">
        <v>59000</v>
      </c>
      <c r="D7" s="1">
        <v>30</v>
      </c>
      <c r="E7" s="1">
        <v>51</v>
      </c>
      <c r="F7" s="7">
        <v>25</v>
      </c>
      <c r="H7" s="24" t="s">
        <v>16</v>
      </c>
      <c r="I7" s="24">
        <f>CORREL(Лист1!$B$3:$B$26, Лист1!$E$3:$E$26)</f>
        <v>0.65969181102783114</v>
      </c>
      <c r="J7" s="24">
        <f>CORREL(Лист1!$C$3:$C$26, Лист1!$E$3:$E$26)</f>
        <v>0.50740308863910311</v>
      </c>
      <c r="K7" s="24">
        <f>CORREL(Лист1!$D$3:$D$26, Лист1!$E$3:$E$26)</f>
        <v>0.57200406360104683</v>
      </c>
      <c r="L7" s="24">
        <f>CORREL(Лист1!$E$3:$E$26, Лист1!$E$3:$E$26)</f>
        <v>1</v>
      </c>
      <c r="M7" s="24"/>
    </row>
    <row r="8" spans="1:13" ht="15.6">
      <c r="A8" s="1">
        <v>6</v>
      </c>
      <c r="B8" s="1">
        <v>34</v>
      </c>
      <c r="C8" s="1">
        <v>35500</v>
      </c>
      <c r="D8" s="1">
        <v>33</v>
      </c>
      <c r="E8" s="1">
        <v>33</v>
      </c>
      <c r="F8" s="7">
        <v>21</v>
      </c>
      <c r="H8" s="24" t="s">
        <v>17</v>
      </c>
      <c r="I8" s="24">
        <f>CORREL(Лист1!$B$3:$B$26, Лист1!$F$3:$F$26)</f>
        <v>0.9067195489737121</v>
      </c>
      <c r="J8" s="24">
        <f>CORREL(Лист1!$C$3:$C$26, Лист1!$F$3:$F$26)</f>
        <v>0.83468051965825407</v>
      </c>
      <c r="K8" s="24">
        <f>CORREL(Лист1!$D$3:$D$26, Лист1!$F$3:$F$26)</f>
        <v>0.49925008776132856</v>
      </c>
      <c r="L8" s="24">
        <f>CORREL(Лист1!$E$3:$E$26, Лист1!$F$3:$F$26)</f>
        <v>0.39876649614723464</v>
      </c>
      <c r="M8" s="24">
        <f>CORREL(Лист1!$F$3:$F$26, Лист1!$F$3:$F$26)</f>
        <v>1.0000000000000002</v>
      </c>
    </row>
    <row r="9" spans="1:13" ht="15.6">
      <c r="A9" s="1">
        <v>7</v>
      </c>
      <c r="B9" s="1">
        <v>80</v>
      </c>
      <c r="C9" s="1">
        <v>77800</v>
      </c>
      <c r="D9" s="1">
        <v>41</v>
      </c>
      <c r="E9" s="1">
        <v>75</v>
      </c>
      <c r="F9" s="7">
        <v>35</v>
      </c>
    </row>
    <row r="10" spans="1:13" ht="15.6">
      <c r="A10" s="1">
        <v>8</v>
      </c>
      <c r="B10" s="1">
        <v>48</v>
      </c>
      <c r="C10" s="1">
        <v>51400</v>
      </c>
      <c r="D10" s="1">
        <v>27</v>
      </c>
      <c r="E10" s="1">
        <v>38</v>
      </c>
      <c r="F10" s="7">
        <v>25</v>
      </c>
    </row>
    <row r="11" spans="1:13" ht="15.6">
      <c r="A11" s="1">
        <v>9</v>
      </c>
      <c r="B11" s="1">
        <v>28</v>
      </c>
      <c r="C11" s="1">
        <v>65000</v>
      </c>
      <c r="D11" s="1">
        <v>35</v>
      </c>
      <c r="E11" s="1">
        <v>26</v>
      </c>
      <c r="F11" s="7">
        <v>19</v>
      </c>
    </row>
    <row r="12" spans="1:13" ht="15.6">
      <c r="A12" s="1">
        <v>10</v>
      </c>
      <c r="B12" s="1">
        <v>58</v>
      </c>
      <c r="C12" s="1">
        <v>59700</v>
      </c>
      <c r="D12" s="1">
        <v>31</v>
      </c>
      <c r="E12" s="1">
        <v>54</v>
      </c>
      <c r="F12" s="7">
        <v>27</v>
      </c>
    </row>
    <row r="13" spans="1:13" ht="15.6">
      <c r="A13" s="1">
        <v>11</v>
      </c>
      <c r="B13" s="1">
        <v>68</v>
      </c>
      <c r="C13" s="1">
        <v>71200</v>
      </c>
      <c r="D13" s="1">
        <v>37</v>
      </c>
      <c r="E13" s="1">
        <v>65</v>
      </c>
      <c r="F13" s="7">
        <v>33</v>
      </c>
    </row>
    <row r="14" spans="1:13" ht="15.6">
      <c r="A14" s="1">
        <v>12</v>
      </c>
      <c r="B14" s="1">
        <v>38</v>
      </c>
      <c r="C14" s="1">
        <v>39900</v>
      </c>
      <c r="D14" s="1">
        <v>23</v>
      </c>
      <c r="E14" s="1">
        <v>34</v>
      </c>
      <c r="F14" s="7">
        <v>21</v>
      </c>
    </row>
    <row r="15" spans="1:13" ht="15.6">
      <c r="A15" s="1">
        <v>13</v>
      </c>
      <c r="B15" s="1">
        <v>32</v>
      </c>
      <c r="C15" s="1">
        <v>34000</v>
      </c>
      <c r="D15" s="1">
        <v>17</v>
      </c>
      <c r="E15" s="1">
        <v>30</v>
      </c>
      <c r="F15" s="7">
        <v>19</v>
      </c>
    </row>
    <row r="16" spans="1:13" ht="15.6">
      <c r="A16" s="1">
        <v>14</v>
      </c>
      <c r="B16" s="1">
        <v>18</v>
      </c>
      <c r="C16" s="1">
        <v>53000</v>
      </c>
      <c r="D16" s="1">
        <v>35</v>
      </c>
      <c r="E16" s="1">
        <v>16</v>
      </c>
      <c r="F16" s="7">
        <v>15</v>
      </c>
    </row>
    <row r="17" spans="1:6" ht="15.6">
      <c r="A17" s="1">
        <v>15</v>
      </c>
      <c r="B17" s="1">
        <v>52</v>
      </c>
      <c r="C17" s="1">
        <v>57200</v>
      </c>
      <c r="D17" s="1">
        <v>31</v>
      </c>
      <c r="E17" s="1">
        <v>48</v>
      </c>
      <c r="F17" s="7">
        <v>23</v>
      </c>
    </row>
    <row r="18" spans="1:6" ht="15.6">
      <c r="A18" s="1">
        <v>16</v>
      </c>
      <c r="B18" s="1">
        <v>78</v>
      </c>
      <c r="C18" s="1">
        <v>79600</v>
      </c>
      <c r="D18" s="1">
        <v>40</v>
      </c>
      <c r="E18" s="1">
        <v>70</v>
      </c>
      <c r="F18" s="7">
        <v>37</v>
      </c>
    </row>
    <row r="19" spans="1:6" ht="15.6">
      <c r="A19" s="1">
        <v>17</v>
      </c>
      <c r="B19" s="1">
        <v>98</v>
      </c>
      <c r="C19" s="1">
        <v>95000</v>
      </c>
      <c r="D19" s="1">
        <v>53</v>
      </c>
      <c r="E19" s="1">
        <v>92</v>
      </c>
      <c r="F19" s="7">
        <v>41</v>
      </c>
    </row>
    <row r="20" spans="1:6" ht="15.6">
      <c r="A20" s="1">
        <v>18</v>
      </c>
      <c r="B20" s="1">
        <v>96</v>
      </c>
      <c r="C20" s="1">
        <v>97300</v>
      </c>
      <c r="D20" s="1">
        <v>51</v>
      </c>
      <c r="E20" s="1">
        <v>90</v>
      </c>
      <c r="F20" s="7">
        <v>37</v>
      </c>
    </row>
    <row r="21" spans="1:6" ht="15.6">
      <c r="A21" s="1">
        <v>19</v>
      </c>
      <c r="B21" s="1">
        <v>92</v>
      </c>
      <c r="C21" s="1">
        <v>95400</v>
      </c>
      <c r="D21" s="1">
        <v>51</v>
      </c>
      <c r="E21" s="1">
        <v>22</v>
      </c>
      <c r="F21" s="7">
        <v>42</v>
      </c>
    </row>
    <row r="22" spans="1:6" ht="15.6">
      <c r="A22" s="1">
        <v>20</v>
      </c>
      <c r="B22" s="1">
        <v>94</v>
      </c>
      <c r="C22" s="1">
        <v>89500</v>
      </c>
      <c r="D22" s="1">
        <v>52</v>
      </c>
      <c r="E22" s="1">
        <v>35</v>
      </c>
      <c r="F22" s="7">
        <v>45</v>
      </c>
    </row>
    <row r="23" spans="1:6" ht="15.6">
      <c r="A23" s="1">
        <v>21</v>
      </c>
      <c r="B23" s="1">
        <v>70</v>
      </c>
      <c r="C23" s="1">
        <v>75700</v>
      </c>
      <c r="D23" s="1">
        <v>37</v>
      </c>
      <c r="E23" s="1">
        <v>36</v>
      </c>
      <c r="F23" s="7">
        <v>33</v>
      </c>
    </row>
    <row r="24" spans="1:6" ht="15.6">
      <c r="A24" s="1">
        <v>22</v>
      </c>
      <c r="B24" s="1">
        <v>39</v>
      </c>
      <c r="C24" s="1">
        <v>43400</v>
      </c>
      <c r="D24" s="1">
        <v>41</v>
      </c>
      <c r="E24" s="1">
        <v>24</v>
      </c>
      <c r="F24" s="7">
        <v>21</v>
      </c>
    </row>
    <row r="25" spans="1:6" ht="15.6">
      <c r="A25" s="1">
        <v>23</v>
      </c>
      <c r="B25" s="1">
        <v>61</v>
      </c>
      <c r="C25" s="1">
        <v>67700</v>
      </c>
      <c r="D25" s="1">
        <v>15</v>
      </c>
      <c r="E25" s="1">
        <v>12</v>
      </c>
      <c r="F25" s="7">
        <v>45</v>
      </c>
    </row>
    <row r="26" spans="1:6" ht="15.6">
      <c r="A26" s="8">
        <v>24</v>
      </c>
      <c r="B26" s="8">
        <v>40</v>
      </c>
      <c r="C26" s="8">
        <v>75000</v>
      </c>
      <c r="D26" s="8">
        <v>5</v>
      </c>
      <c r="E26" s="8">
        <v>15</v>
      </c>
      <c r="F26" s="10">
        <v>27</v>
      </c>
    </row>
    <row r="27" spans="1:6" ht="15.6">
      <c r="A27" s="10"/>
      <c r="B27" s="10"/>
      <c r="C27" s="10"/>
      <c r="D27" s="10"/>
      <c r="E27" s="10"/>
      <c r="F27" s="10"/>
    </row>
    <row r="28" spans="1:6" ht="13.2"/>
    <row r="29" spans="1:6" ht="13.2"/>
    <row r="30" spans="1:6" ht="13.2"/>
    <row r="31" spans="1:6" ht="13.2"/>
    <row r="32" spans="1:6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</sheetData>
  <mergeCells count="1">
    <mergeCell ref="A1:M1"/>
  </mergeCells>
  <pageMargins left="0.39370078740157477" right="0.39370078740157477" top="0.78740157480314954" bottom="0.78740157480314954" header="0.39370078740157477" footer="0.39370078740157477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zoomScale="37" workbookViewId="0">
      <selection sqref="A1:AB1"/>
    </sheetView>
  </sheetViews>
  <sheetFormatPr defaultRowHeight="13.2"/>
  <cols>
    <col min="1" max="1" width="11.88671875" customWidth="1"/>
    <col min="2" max="2" width="16.21875" customWidth="1"/>
    <col min="3" max="3" width="15.33203125" customWidth="1"/>
    <col min="4" max="4" width="16" customWidth="1"/>
    <col min="5" max="5" width="13.88671875" customWidth="1"/>
    <col min="6" max="6" width="11.88671875" customWidth="1"/>
    <col min="7" max="7" width="16.33203125" customWidth="1"/>
    <col min="8" max="8" width="20.44140625" customWidth="1"/>
    <col min="9" max="9" width="20.33203125" customWidth="1"/>
    <col min="10" max="10" width="21.6640625" customWidth="1"/>
    <col min="11" max="14" width="22" customWidth="1"/>
    <col min="15" max="15" width="11.88671875" customWidth="1"/>
    <col min="16" max="16" width="28" customWidth="1"/>
    <col min="17" max="17" width="26.44140625" customWidth="1"/>
    <col min="18" max="18" width="26" customWidth="1"/>
    <col min="19" max="19" width="21" customWidth="1"/>
    <col min="20" max="20" width="11.88671875" customWidth="1"/>
    <col min="21" max="21" width="16.44140625" customWidth="1"/>
    <col min="22" max="23" width="11.88671875" customWidth="1"/>
    <col min="24" max="24" width="17.88671875" customWidth="1"/>
    <col min="25" max="30" width="11.88671875" customWidth="1"/>
  </cols>
  <sheetData>
    <row r="1" spans="1:30" ht="17.399999999999999">
      <c r="A1" s="17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/>
      <c r="AD1"/>
    </row>
    <row r="2" spans="1:30" ht="46.8">
      <c r="A2" s="18" t="s">
        <v>0</v>
      </c>
      <c r="B2" s="19" t="s">
        <v>1</v>
      </c>
      <c r="C2" s="19" t="s">
        <v>2</v>
      </c>
      <c r="D2" s="19" t="s">
        <v>3</v>
      </c>
      <c r="E2" s="20" t="s">
        <v>5</v>
      </c>
      <c r="F2"/>
      <c r="G2" s="23" t="s">
        <v>46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/>
      <c r="N2"/>
      <c r="O2" s="33" t="s">
        <v>0</v>
      </c>
      <c r="P2" s="34" t="s">
        <v>1</v>
      </c>
      <c r="Q2" s="34" t="s">
        <v>3</v>
      </c>
      <c r="R2" s="34" t="s">
        <v>5</v>
      </c>
      <c r="S2" s="37" t="s">
        <v>50</v>
      </c>
      <c r="T2"/>
      <c r="U2" s="43"/>
      <c r="V2" s="44" t="s">
        <v>7</v>
      </c>
      <c r="W2" s="44" t="s">
        <v>9</v>
      </c>
      <c r="X2" s="44" t="s">
        <v>11</v>
      </c>
      <c r="Y2" s="43"/>
      <c r="Z2" s="43"/>
      <c r="AA2" s="43"/>
      <c r="AB2" s="43"/>
      <c r="AC2"/>
      <c r="AD2"/>
    </row>
    <row r="3" spans="1:30" ht="15.6">
      <c r="A3" s="2" t="s">
        <v>6</v>
      </c>
      <c r="B3" s="3"/>
      <c r="C3" s="3"/>
      <c r="D3" s="3"/>
      <c r="E3" s="6"/>
      <c r="F3"/>
      <c r="G3" s="22" t="s">
        <v>12</v>
      </c>
      <c r="H3" s="22" t="s">
        <v>13</v>
      </c>
      <c r="I3" s="22" t="s">
        <v>14</v>
      </c>
      <c r="J3" s="22" t="s">
        <v>15</v>
      </c>
      <c r="K3" s="22" t="s">
        <v>16</v>
      </c>
      <c r="L3" s="22" t="s">
        <v>17</v>
      </c>
      <c r="M3"/>
      <c r="N3"/>
      <c r="O3" s="2" t="s">
        <v>6</v>
      </c>
      <c r="P3" s="9"/>
      <c r="Q3" s="9"/>
      <c r="R3" s="9"/>
      <c r="S3" s="35"/>
      <c r="T3"/>
      <c r="U3" s="39" t="s">
        <v>12</v>
      </c>
      <c r="V3" s="39" t="s">
        <v>13</v>
      </c>
      <c r="W3" s="39" t="s">
        <v>14</v>
      </c>
      <c r="X3" s="39" t="s">
        <v>15</v>
      </c>
      <c r="Y3" s="39"/>
      <c r="Z3" s="39"/>
      <c r="AA3" s="39"/>
      <c r="AB3" s="39"/>
      <c r="AC3"/>
      <c r="AD3"/>
    </row>
    <row r="4" spans="1:30" ht="15.6">
      <c r="A4" s="2">
        <v>1</v>
      </c>
      <c r="B4" s="1">
        <v>60</v>
      </c>
      <c r="C4" s="1">
        <v>65000</v>
      </c>
      <c r="D4" s="1">
        <v>35</v>
      </c>
      <c r="E4" s="7">
        <v>31</v>
      </c>
      <c r="F4"/>
      <c r="G4" s="22" t="s">
        <v>13</v>
      </c>
      <c r="H4" s="22">
        <f>CORREL(Лист1!$B$3:$B$26, Лист1!$B$3:$B$26)</f>
        <v>1</v>
      </c>
      <c r="I4" s="22"/>
      <c r="J4" s="22"/>
      <c r="K4" s="22"/>
      <c r="L4" s="22"/>
      <c r="M4"/>
      <c r="N4"/>
      <c r="O4" s="2">
        <v>1</v>
      </c>
      <c r="P4" s="1">
        <v>60</v>
      </c>
      <c r="Q4" s="1">
        <v>35</v>
      </c>
      <c r="R4" s="7">
        <v>31</v>
      </c>
      <c r="S4" s="38">
        <f>$V$35+$V$36*Q4+$V$37*R4</f>
        <v>62.519747860070069</v>
      </c>
      <c r="T4"/>
      <c r="U4" s="39" t="s">
        <v>13</v>
      </c>
      <c r="V4" s="39">
        <f>CORREL(Лист2!$P$4:$P$27, Лист2!$P$4:$P$27)</f>
        <v>1</v>
      </c>
      <c r="W4" s="39"/>
      <c r="X4" s="39"/>
      <c r="Y4" s="39"/>
      <c r="Z4" s="39"/>
      <c r="AA4" s="39"/>
      <c r="AB4" s="39"/>
    </row>
    <row r="5" spans="1:30" ht="15.6">
      <c r="A5" s="2">
        <v>2</v>
      </c>
      <c r="B5" s="1">
        <v>34</v>
      </c>
      <c r="C5" s="1">
        <v>35500</v>
      </c>
      <c r="D5" s="1">
        <v>22</v>
      </c>
      <c r="E5" s="7">
        <v>22</v>
      </c>
      <c r="F5"/>
      <c r="G5" s="22" t="s">
        <v>14</v>
      </c>
      <c r="H5" s="21">
        <f>CORREL(Лист1!$B$3:$B$26, Лист1!$C$3:$C$26)</f>
        <v>0.87396683817596221</v>
      </c>
      <c r="I5" s="21">
        <f>CORREL(Лист1!$C$3:$C$26, Лист1!$C$3:$C$26)</f>
        <v>1</v>
      </c>
      <c r="J5" s="21"/>
      <c r="K5" s="21"/>
      <c r="L5" s="22"/>
      <c r="M5"/>
      <c r="N5"/>
      <c r="O5" s="2">
        <v>2</v>
      </c>
      <c r="P5" s="1">
        <v>34</v>
      </c>
      <c r="Q5" s="1">
        <v>22</v>
      </c>
      <c r="R5" s="7">
        <v>22</v>
      </c>
      <c r="S5" s="38">
        <f>$V$35+$V$36*Q5+$V$37*R5</f>
        <v>36.768447349619798</v>
      </c>
      <c r="T5"/>
      <c r="U5" s="39" t="s">
        <v>14</v>
      </c>
      <c r="V5" s="39">
        <f>CORREL(Лист2!$P$4:$P$27, Лист2!$Q$4:$Q$27)</f>
        <v>0.70450764326061499</v>
      </c>
      <c r="W5" s="39">
        <f>CORREL(Лист2!$Q$4:$Q$27, Лист2!$Q$4:$Q$27)</f>
        <v>0.99999999999999978</v>
      </c>
      <c r="X5" s="39"/>
      <c r="Y5" s="39"/>
      <c r="Z5" s="39"/>
      <c r="AA5" s="39"/>
      <c r="AB5" s="39"/>
    </row>
    <row r="6" spans="1:30" ht="15.6">
      <c r="A6" s="2">
        <v>3</v>
      </c>
      <c r="B6" s="1">
        <v>56</v>
      </c>
      <c r="C6" s="1">
        <v>60000</v>
      </c>
      <c r="D6" s="1">
        <v>32</v>
      </c>
      <c r="E6" s="7">
        <v>27</v>
      </c>
      <c r="F6"/>
      <c r="G6" s="22" t="s">
        <v>15</v>
      </c>
      <c r="H6" s="21">
        <f>CORREL(Лист1!$B$3:$B$26, Лист1!$D$3:$D$26)</f>
        <v>0.70450764326061499</v>
      </c>
      <c r="I6" s="21">
        <f>CORREL(Лист1!$C$3:$C$26, Лист1!$D$3:$D$26)</f>
        <v>0.6376572692288256</v>
      </c>
      <c r="J6" s="21">
        <f>CORREL(Лист1!$D$3:$D$26, Лист1!$D$3:$D$26)</f>
        <v>0.99999999999999978</v>
      </c>
      <c r="K6" s="21"/>
      <c r="L6" s="22"/>
      <c r="M6"/>
      <c r="N6"/>
      <c r="O6" s="2">
        <v>3</v>
      </c>
      <c r="P6" s="1">
        <v>56</v>
      </c>
      <c r="Q6" s="1">
        <v>32</v>
      </c>
      <c r="R6" s="7">
        <v>27</v>
      </c>
      <c r="S6" s="38">
        <f>$V$35+$V$36*Q6+$V$37*R6</f>
        <v>52.85137699781238</v>
      </c>
      <c r="T6"/>
      <c r="U6" s="40" t="s">
        <v>15</v>
      </c>
      <c r="V6" s="40">
        <f>CORREL(Лист2!$P$4:$P$27, Лист2!$R$4:$R$27)</f>
        <v>0.9067195489737121</v>
      </c>
      <c r="W6" s="40">
        <f>CORREL(Лист2!$Q$4:$Q$27, Лист2!$R$4:$R$27)</f>
        <v>0.49925008776132856</v>
      </c>
      <c r="X6" s="40">
        <f>CORREL(Лист2!$R$4:$R$27, Лист2!$R$4:$R$27)</f>
        <v>1.0000000000000002</v>
      </c>
      <c r="Y6" s="40"/>
      <c r="Z6" s="40"/>
      <c r="AA6" s="40"/>
      <c r="AB6" s="40"/>
    </row>
    <row r="7" spans="1:30" ht="15.6">
      <c r="A7" s="2">
        <v>4</v>
      </c>
      <c r="B7" s="1">
        <v>30</v>
      </c>
      <c r="C7" s="1">
        <v>35000</v>
      </c>
      <c r="D7" s="1">
        <v>16</v>
      </c>
      <c r="E7" s="7">
        <v>17</v>
      </c>
      <c r="F7"/>
      <c r="G7" s="22" t="s">
        <v>16</v>
      </c>
      <c r="H7" s="21">
        <f>CORREL(Лист1!$B$3:$B$26, Лист1!$E$3:$E$26)</f>
        <v>0.65969181102783114</v>
      </c>
      <c r="I7" s="21">
        <f>CORREL(Лист1!$C$3:$C$26, Лист1!$E$3:$E$26)</f>
        <v>0.50740308863910311</v>
      </c>
      <c r="J7" s="21">
        <f>CORREL(Лист1!$D$3:$D$26, Лист1!$E$3:$E$26)</f>
        <v>0.57200406360104683</v>
      </c>
      <c r="K7" s="21">
        <f>CORREL(Лист1!$E$3:$E$26, Лист1!$E$3:$E$26)</f>
        <v>1</v>
      </c>
      <c r="L7" s="22"/>
      <c r="M7"/>
      <c r="N7"/>
      <c r="O7" s="2">
        <v>4</v>
      </c>
      <c r="P7" s="1">
        <v>30</v>
      </c>
      <c r="Q7" s="1">
        <v>16</v>
      </c>
      <c r="R7" s="7">
        <v>17</v>
      </c>
      <c r="S7" s="36">
        <f>$V$35+$V$36*Q7+$V$37*R7</f>
        <v>23.243895986464324</v>
      </c>
      <c r="T7"/>
      <c r="U7" s="42"/>
      <c r="V7" s="42"/>
      <c r="W7" s="42"/>
      <c r="X7" s="42"/>
      <c r="Y7" s="42"/>
      <c r="Z7" s="42"/>
      <c r="AA7" s="42"/>
      <c r="AB7" s="42"/>
    </row>
    <row r="8" spans="1:30" ht="15.6">
      <c r="A8" s="2">
        <v>5</v>
      </c>
      <c r="B8" s="1">
        <v>56</v>
      </c>
      <c r="C8" s="1">
        <v>59000</v>
      </c>
      <c r="D8" s="1">
        <v>30</v>
      </c>
      <c r="E8" s="7">
        <v>25</v>
      </c>
      <c r="F8"/>
      <c r="G8" s="22" t="s">
        <v>17</v>
      </c>
      <c r="H8" s="21">
        <f>CORREL(Лист1!$B$3:$B$26, Лист1!$F$3:$F$26)</f>
        <v>0.9067195489737121</v>
      </c>
      <c r="I8" s="21">
        <f>CORREL(Лист1!$C$3:$C$26, Лист1!$F$3:$F$26)</f>
        <v>0.83468051965825407</v>
      </c>
      <c r="J8" s="21">
        <f>CORREL(Лист1!$D$3:$D$26, Лист1!$F$3:$F$26)</f>
        <v>0.49925008776132856</v>
      </c>
      <c r="K8" s="21">
        <f>CORREL(Лист1!$E$3:$E$26, Лист1!$F$3:$F$26)</f>
        <v>0.39876649614723464</v>
      </c>
      <c r="L8" s="22">
        <f>CORREL(Лист1!$F$3:$F$26, Лист1!$F$3:$F$26)</f>
        <v>1.0000000000000002</v>
      </c>
      <c r="M8"/>
      <c r="N8"/>
      <c r="O8" s="2">
        <v>5</v>
      </c>
      <c r="P8" s="1">
        <v>56</v>
      </c>
      <c r="Q8" s="1">
        <v>30</v>
      </c>
      <c r="R8" s="7">
        <v>25</v>
      </c>
      <c r="S8" s="36">
        <f>$V$35+$V$36*Q8+$V$37*R8</f>
        <v>47.69739428105391</v>
      </c>
      <c r="T8"/>
      <c r="U8" s="42"/>
      <c r="V8" s="42"/>
      <c r="W8" s="42"/>
      <c r="X8" s="42"/>
      <c r="Y8" s="42"/>
      <c r="Z8" s="42"/>
      <c r="AA8" s="42"/>
      <c r="AB8" s="42"/>
    </row>
    <row r="9" spans="1:30" ht="15.6">
      <c r="A9" s="2">
        <v>6</v>
      </c>
      <c r="B9" s="1">
        <v>34</v>
      </c>
      <c r="C9" s="1">
        <v>35500</v>
      </c>
      <c r="D9" s="1">
        <v>33</v>
      </c>
      <c r="E9" s="7">
        <v>21</v>
      </c>
      <c r="F9"/>
      <c r="G9"/>
      <c r="H9"/>
      <c r="I9"/>
      <c r="J9"/>
      <c r="K9"/>
      <c r="L9"/>
      <c r="M9"/>
      <c r="N9"/>
      <c r="O9" s="2">
        <v>6</v>
      </c>
      <c r="P9" s="1">
        <v>34</v>
      </c>
      <c r="Q9" s="1">
        <v>33</v>
      </c>
      <c r="R9" s="7">
        <v>21</v>
      </c>
      <c r="S9" s="36">
        <f>$V$35+$V$36*Q9+$V$37*R9</f>
        <v>41.866590846351897</v>
      </c>
      <c r="T9"/>
      <c r="U9" s="41" t="s">
        <v>19</v>
      </c>
      <c r="V9" s="41"/>
      <c r="W9" s="41"/>
      <c r="X9" s="41"/>
      <c r="Y9" s="41"/>
      <c r="Z9" s="41"/>
      <c r="AA9" s="41"/>
      <c r="AB9" s="41"/>
    </row>
    <row r="10" spans="1:30" ht="26.4">
      <c r="A10" s="2">
        <v>7</v>
      </c>
      <c r="B10" s="1">
        <v>80</v>
      </c>
      <c r="C10" s="1">
        <v>77800</v>
      </c>
      <c r="D10" s="1">
        <v>41</v>
      </c>
      <c r="E10" s="7">
        <v>35</v>
      </c>
      <c r="F10"/>
      <c r="G10" s="31" t="s">
        <v>49</v>
      </c>
      <c r="H10" s="31"/>
      <c r="I10" s="31"/>
      <c r="J10" s="31"/>
      <c r="K10" s="30"/>
      <c r="L10" s="30"/>
      <c r="M10"/>
      <c r="N10"/>
      <c r="O10" s="2">
        <v>7</v>
      </c>
      <c r="P10" s="1">
        <v>80</v>
      </c>
      <c r="Q10" s="1">
        <v>41</v>
      </c>
      <c r="R10" s="7">
        <v>35</v>
      </c>
      <c r="S10" s="36">
        <f>$V$35+$V$36*Q10+$V$37*R10</f>
        <v>74.106902436105585</v>
      </c>
      <c r="T10"/>
      <c r="U10" s="39" t="s">
        <v>20</v>
      </c>
      <c r="V10" s="39" t="s">
        <v>21</v>
      </c>
      <c r="W10" s="39"/>
      <c r="X10" s="39"/>
      <c r="Y10" s="39"/>
      <c r="Z10" s="39"/>
      <c r="AA10" s="39"/>
      <c r="AB10" s="39"/>
    </row>
    <row r="11" spans="1:30" ht="26.4">
      <c r="A11" s="2">
        <v>8</v>
      </c>
      <c r="B11" s="1">
        <v>48</v>
      </c>
      <c r="C11" s="1">
        <v>51400</v>
      </c>
      <c r="D11" s="1">
        <v>27</v>
      </c>
      <c r="E11" s="7">
        <v>25</v>
      </c>
      <c r="F11"/>
      <c r="G11" s="28" t="s">
        <v>20</v>
      </c>
      <c r="H11" s="29" t="s">
        <v>21</v>
      </c>
      <c r="I11" s="29"/>
      <c r="J11" s="29"/>
      <c r="K11" s="27"/>
      <c r="L11" s="27"/>
      <c r="M11"/>
      <c r="N11"/>
      <c r="O11" s="2">
        <v>8</v>
      </c>
      <c r="P11" s="1">
        <v>48</v>
      </c>
      <c r="Q11" s="1">
        <v>27</v>
      </c>
      <c r="R11" s="7">
        <v>25</v>
      </c>
      <c r="S11" s="36">
        <f>$V$35+$V$36*Q11+$V$37*R11</f>
        <v>45.778610567276075</v>
      </c>
      <c r="T11"/>
      <c r="U11" s="39"/>
      <c r="V11" s="39"/>
      <c r="W11" s="39"/>
      <c r="X11" s="39"/>
      <c r="Y11" s="39"/>
      <c r="Z11" s="39"/>
      <c r="AA11" s="39"/>
      <c r="AB11" s="39"/>
    </row>
    <row r="12" spans="1:30" ht="39.6">
      <c r="A12" s="2">
        <v>9</v>
      </c>
      <c r="B12" s="1">
        <v>28</v>
      </c>
      <c r="C12" s="1">
        <v>65000</v>
      </c>
      <c r="D12" s="1">
        <v>35</v>
      </c>
      <c r="E12" s="7">
        <v>19</v>
      </c>
      <c r="F12"/>
      <c r="G12" s="28" t="s">
        <v>48</v>
      </c>
      <c r="H12" s="29"/>
      <c r="I12" s="29"/>
      <c r="J12" s="29"/>
      <c r="K12" s="27"/>
      <c r="L12" s="27"/>
      <c r="M12"/>
      <c r="N12"/>
      <c r="O12" s="2">
        <v>9</v>
      </c>
      <c r="P12" s="1">
        <v>28</v>
      </c>
      <c r="Q12" s="1">
        <v>35</v>
      </c>
      <c r="R12" s="7">
        <v>19</v>
      </c>
      <c r="S12" s="36">
        <f>$V$35+$V$36*Q12+$V$37*R12</f>
        <v>39.270986414630542</v>
      </c>
      <c r="T12"/>
      <c r="U12" s="39" t="s">
        <v>22</v>
      </c>
      <c r="V12" s="39"/>
      <c r="W12" s="39"/>
      <c r="X12" s="39"/>
      <c r="Y12" s="39"/>
      <c r="Z12" s="39"/>
      <c r="AA12" s="39"/>
      <c r="AB12" s="39"/>
    </row>
    <row r="13" spans="1:30" ht="15.6">
      <c r="A13" s="2">
        <v>10</v>
      </c>
      <c r="B13" s="1">
        <v>58</v>
      </c>
      <c r="C13" s="1">
        <v>59700</v>
      </c>
      <c r="D13" s="1">
        <v>31</v>
      </c>
      <c r="E13" s="7">
        <v>27</v>
      </c>
      <c r="F13"/>
      <c r="G13" s="29">
        <f t="array" ref="G13:J17">LINEST($B$4:$B$27, $C$4:$E$27, 1, 1)</f>
        <v>1.6118842494073093</v>
      </c>
      <c r="H13" s="29">
        <v>0.53825215862848197</v>
      </c>
      <c r="I13" s="29">
        <v>2.1405421930914203E-4</v>
      </c>
      <c r="J13" s="29">
        <v>-20.795294290672729</v>
      </c>
      <c r="K13" s="27"/>
      <c r="L13" s="27"/>
      <c r="M13"/>
      <c r="N13"/>
      <c r="O13" s="2">
        <v>10</v>
      </c>
      <c r="P13" s="1">
        <v>58</v>
      </c>
      <c r="Q13" s="1">
        <v>31</v>
      </c>
      <c r="R13" s="7">
        <v>27</v>
      </c>
      <c r="S13" s="36">
        <f>$V$35+$V$36*Q13+$V$37*R13</f>
        <v>52.211782426553107</v>
      </c>
      <c r="T13"/>
      <c r="U13" s="39">
        <f t="array" ref="U13:W17">LINEST($P$4:$P$27, $Q$4:$R$27, 1, 1)</f>
        <v>1.9373967871199607</v>
      </c>
      <c r="V13" s="39">
        <v>0.63959457125927865</v>
      </c>
      <c r="W13" s="39">
        <v>-19.925362534723469</v>
      </c>
      <c r="X13" s="39"/>
      <c r="Y13" s="39"/>
      <c r="Z13" s="39"/>
      <c r="AA13" s="39"/>
      <c r="AB13" s="39"/>
    </row>
    <row r="14" spans="1:30" ht="15.6">
      <c r="A14" s="2">
        <v>11</v>
      </c>
      <c r="B14" s="1">
        <v>68</v>
      </c>
      <c r="C14" s="1">
        <v>71200</v>
      </c>
      <c r="D14" s="1">
        <v>37</v>
      </c>
      <c r="E14" s="7">
        <v>33</v>
      </c>
      <c r="F14"/>
      <c r="G14" s="29">
        <v>0.31229315606298269</v>
      </c>
      <c r="H14" s="29">
        <v>0.16244420343823948</v>
      </c>
      <c r="I14" s="29">
        <v>1.5886462100287883E-4</v>
      </c>
      <c r="J14" s="29">
        <v>5.524777588758969</v>
      </c>
      <c r="K14" s="27"/>
      <c r="L14" s="27"/>
      <c r="M14"/>
      <c r="N14"/>
      <c r="O14" s="2">
        <v>11</v>
      </c>
      <c r="P14" s="1">
        <v>68</v>
      </c>
      <c r="Q14" s="1">
        <v>37</v>
      </c>
      <c r="R14" s="7">
        <v>33</v>
      </c>
      <c r="S14" s="36">
        <f>$V$35+$V$36*Q14+$V$37*R14</f>
        <v>67.673730576828547</v>
      </c>
      <c r="T14"/>
      <c r="U14" s="39">
        <v>0.20170328296283044</v>
      </c>
      <c r="V14" s="39">
        <v>0.14675191042644251</v>
      </c>
      <c r="W14" s="39">
        <v>5.5924440471275032</v>
      </c>
      <c r="X14" s="39"/>
      <c r="Y14" s="39"/>
      <c r="Z14" s="39"/>
      <c r="AA14" s="39"/>
      <c r="AB14" s="39"/>
    </row>
    <row r="15" spans="1:30" ht="15.6">
      <c r="A15" s="2">
        <v>12</v>
      </c>
      <c r="B15" s="1">
        <v>38</v>
      </c>
      <c r="C15" s="1">
        <v>39900</v>
      </c>
      <c r="D15" s="1">
        <v>23</v>
      </c>
      <c r="E15" s="7">
        <v>21</v>
      </c>
      <c r="F15"/>
      <c r="G15" s="29">
        <v>0.91438401844280326</v>
      </c>
      <c r="H15" s="29">
        <v>7.441341478869445</v>
      </c>
      <c r="I15" s="29" t="e">
        <v>#N/A</v>
      </c>
      <c r="J15" s="29" t="e">
        <v>#N/A</v>
      </c>
      <c r="K15" s="27"/>
      <c r="L15" s="27"/>
      <c r="M15"/>
      <c r="N15"/>
      <c r="O15" s="2">
        <v>12</v>
      </c>
      <c r="P15" s="1">
        <v>38</v>
      </c>
      <c r="Q15" s="1">
        <v>23</v>
      </c>
      <c r="R15" s="7">
        <v>21</v>
      </c>
      <c r="S15" s="36">
        <f>$V$35+$V$36*Q15+$V$37*R15</f>
        <v>35.470645133759113</v>
      </c>
      <c r="T15"/>
      <c r="U15" s="39">
        <v>0.90661228229109236</v>
      </c>
      <c r="V15" s="39">
        <v>7.5844491836412251</v>
      </c>
      <c r="W15" s="39" t="e">
        <v>#N/A</v>
      </c>
      <c r="X15" s="39"/>
      <c r="Y15" s="39"/>
      <c r="Z15" s="39"/>
      <c r="AA15" s="39"/>
      <c r="AB15" s="39"/>
    </row>
    <row r="16" spans="1:30" ht="15.6">
      <c r="A16" s="2">
        <v>13</v>
      </c>
      <c r="B16" s="1">
        <v>32</v>
      </c>
      <c r="C16" s="1">
        <v>34000</v>
      </c>
      <c r="D16" s="1">
        <v>17</v>
      </c>
      <c r="E16" s="7">
        <v>19</v>
      </c>
      <c r="F16"/>
      <c r="G16" s="29">
        <v>71.200415452959902</v>
      </c>
      <c r="H16" s="29">
        <v>20</v>
      </c>
      <c r="I16" s="29" t="e">
        <v>#N/A</v>
      </c>
      <c r="J16" s="29" t="e">
        <v>#N/A</v>
      </c>
      <c r="K16" s="27"/>
      <c r="L16" s="27"/>
      <c r="M16"/>
      <c r="N16"/>
      <c r="O16" s="2">
        <v>13</v>
      </c>
      <c r="P16" s="1">
        <v>32</v>
      </c>
      <c r="Q16" s="1">
        <v>17</v>
      </c>
      <c r="R16" s="7">
        <v>19</v>
      </c>
      <c r="S16" s="36">
        <f>$V$35+$V$36*Q16+$V$37*R16</f>
        <v>27.758284131963524</v>
      </c>
      <c r="T16"/>
      <c r="U16" s="39">
        <v>101.93448557902248</v>
      </c>
      <c r="V16" s="39">
        <v>21</v>
      </c>
      <c r="W16" s="39" t="e">
        <v>#N/A</v>
      </c>
      <c r="X16" s="39"/>
      <c r="Y16" s="39"/>
      <c r="Z16" s="39"/>
      <c r="AA16" s="39"/>
      <c r="AB16" s="39"/>
    </row>
    <row r="17" spans="1:28" ht="15.6">
      <c r="A17" s="2">
        <v>14</v>
      </c>
      <c r="B17" s="1">
        <v>18</v>
      </c>
      <c r="C17" s="1">
        <v>53000</v>
      </c>
      <c r="D17" s="1">
        <v>35</v>
      </c>
      <c r="E17" s="7">
        <v>15</v>
      </c>
      <c r="F17"/>
      <c r="G17" s="29">
        <v>11827.862073230475</v>
      </c>
      <c r="H17" s="29">
        <v>1107.471260102858</v>
      </c>
      <c r="I17" s="29" t="e">
        <v>#N/A</v>
      </c>
      <c r="J17" s="29" t="e">
        <v>#N/A</v>
      </c>
      <c r="K17" s="27"/>
      <c r="L17" s="27"/>
      <c r="M17"/>
      <c r="N17"/>
      <c r="O17" s="2">
        <v>14</v>
      </c>
      <c r="P17" s="1">
        <v>18</v>
      </c>
      <c r="Q17" s="1">
        <v>35</v>
      </c>
      <c r="R17" s="7">
        <v>15</v>
      </c>
      <c r="S17" s="36">
        <f>$V$35+$V$36*Q17+$V$37*R17</f>
        <v>31.521399266150691</v>
      </c>
      <c r="T17"/>
      <c r="U17" s="40">
        <v>11727.332075529377</v>
      </c>
      <c r="V17" s="40">
        <v>1208.0012578039568</v>
      </c>
      <c r="W17" s="40" t="e">
        <v>#N/A</v>
      </c>
      <c r="X17" s="40"/>
      <c r="Y17" s="40"/>
      <c r="Z17" s="40"/>
      <c r="AA17" s="40"/>
      <c r="AB17" s="40"/>
    </row>
    <row r="18" spans="1:28" ht="15.6">
      <c r="A18" s="2">
        <v>15</v>
      </c>
      <c r="B18" s="1">
        <v>52</v>
      </c>
      <c r="C18" s="1">
        <v>57200</v>
      </c>
      <c r="D18" s="1">
        <v>31</v>
      </c>
      <c r="E18" s="7">
        <v>23</v>
      </c>
      <c r="F18"/>
      <c r="K18" s="27"/>
      <c r="L18" s="27"/>
      <c r="M18"/>
      <c r="N18"/>
      <c r="O18" s="2">
        <v>15</v>
      </c>
      <c r="P18" s="1">
        <v>52</v>
      </c>
      <c r="Q18" s="1">
        <v>31</v>
      </c>
      <c r="R18" s="7">
        <v>23</v>
      </c>
      <c r="S18" s="36">
        <f>$V$35+$V$36*Q18+$V$37*R18</f>
        <v>44.462195278073267</v>
      </c>
      <c r="T18"/>
      <c r="U18" s="42"/>
      <c r="V18" s="42"/>
      <c r="W18" s="42"/>
      <c r="X18" s="42"/>
      <c r="Y18" s="42"/>
      <c r="Z18" s="42"/>
      <c r="AA18" s="42"/>
      <c r="AB18" s="42"/>
    </row>
    <row r="19" spans="1:28" ht="26.4">
      <c r="A19" s="2">
        <v>16</v>
      </c>
      <c r="B19" s="1">
        <v>78</v>
      </c>
      <c r="C19" s="1">
        <v>79600</v>
      </c>
      <c r="D19" s="1">
        <v>40</v>
      </c>
      <c r="E19" s="7">
        <v>37</v>
      </c>
      <c r="F19"/>
      <c r="G19" s="32" t="s">
        <v>23</v>
      </c>
      <c r="H19" s="32"/>
      <c r="I19" s="32"/>
      <c r="J19" s="32"/>
      <c r="K19" s="32"/>
      <c r="L19" s="32"/>
      <c r="M19" s="32"/>
      <c r="N19"/>
      <c r="O19" s="2">
        <v>16</v>
      </c>
      <c r="P19" s="1">
        <v>78</v>
      </c>
      <c r="Q19" s="1">
        <v>40</v>
      </c>
      <c r="R19" s="7">
        <v>37</v>
      </c>
      <c r="S19" s="36">
        <f>$V$35+$V$36*Q19+$V$37*R19</f>
        <v>77.342101439086221</v>
      </c>
      <c r="T19"/>
      <c r="U19" s="41" t="s">
        <v>23</v>
      </c>
      <c r="V19" s="41"/>
      <c r="W19" s="41"/>
      <c r="X19" s="41"/>
      <c r="Y19" s="41"/>
      <c r="Z19" s="41"/>
      <c r="AA19" s="41"/>
      <c r="AB19" s="41"/>
    </row>
    <row r="20" spans="1:28" ht="15.6">
      <c r="A20" s="2">
        <v>17</v>
      </c>
      <c r="B20" s="1">
        <v>98</v>
      </c>
      <c r="C20" s="1">
        <v>95000</v>
      </c>
      <c r="D20" s="1">
        <v>53</v>
      </c>
      <c r="E20" s="7">
        <v>41</v>
      </c>
      <c r="F20"/>
      <c r="G20" s="15" t="s">
        <v>24</v>
      </c>
      <c r="H20" s="15">
        <f>$G$15</f>
        <v>0.91438401844280326</v>
      </c>
      <c r="I20" s="15"/>
      <c r="J20" s="15"/>
      <c r="K20" s="15"/>
      <c r="L20" s="15"/>
      <c r="M20" s="15"/>
      <c r="N20"/>
      <c r="O20" s="2">
        <v>17</v>
      </c>
      <c r="P20" s="1">
        <v>98</v>
      </c>
      <c r="Q20" s="1">
        <v>53</v>
      </c>
      <c r="R20" s="7">
        <v>41</v>
      </c>
      <c r="S20" s="36">
        <f>$V$35+$V$36*Q20+$V$37*R20</f>
        <v>93.406418013936701</v>
      </c>
      <c r="T20"/>
      <c r="U20" s="39" t="s">
        <v>24</v>
      </c>
      <c r="V20" s="39">
        <f>$U$15</f>
        <v>0.90661228229109236</v>
      </c>
      <c r="W20" s="39"/>
      <c r="X20" s="39"/>
      <c r="Y20" s="39"/>
      <c r="Z20" s="39"/>
      <c r="AA20" s="39"/>
      <c r="AB20" s="39"/>
    </row>
    <row r="21" spans="1:28" ht="26.4">
      <c r="A21" s="2">
        <v>18</v>
      </c>
      <c r="B21" s="1">
        <v>96</v>
      </c>
      <c r="C21" s="1">
        <v>97300</v>
      </c>
      <c r="D21" s="1">
        <v>51</v>
      </c>
      <c r="E21" s="7">
        <v>37</v>
      </c>
      <c r="F21"/>
      <c r="G21" s="15" t="s">
        <v>25</v>
      </c>
      <c r="H21" s="15">
        <f>$H$15</f>
        <v>7.441341478869445</v>
      </c>
      <c r="I21" s="15"/>
      <c r="J21" s="15"/>
      <c r="K21" s="15"/>
      <c r="L21" s="15"/>
      <c r="M21" s="15"/>
      <c r="N21"/>
      <c r="O21" s="2">
        <v>18</v>
      </c>
      <c r="P21" s="1">
        <v>96</v>
      </c>
      <c r="Q21" s="1">
        <v>51</v>
      </c>
      <c r="R21" s="7">
        <v>37</v>
      </c>
      <c r="S21" s="36">
        <f>$V$35+$V$36*Q21+$V$37*R21</f>
        <v>84.377641722938279</v>
      </c>
      <c r="T21"/>
      <c r="U21" s="39" t="s">
        <v>25</v>
      </c>
      <c r="V21" s="39">
        <f>$V$15</f>
        <v>7.5844491836412251</v>
      </c>
      <c r="W21" s="39"/>
      <c r="X21" s="39"/>
      <c r="Y21" s="39"/>
      <c r="Z21" s="39"/>
      <c r="AA21" s="39"/>
      <c r="AB21" s="39"/>
    </row>
    <row r="22" spans="1:28" ht="39.6">
      <c r="A22" s="2">
        <v>19</v>
      </c>
      <c r="B22" s="1">
        <v>92</v>
      </c>
      <c r="C22" s="1">
        <v>95400</v>
      </c>
      <c r="D22" s="1">
        <v>51</v>
      </c>
      <c r="E22" s="7">
        <v>42</v>
      </c>
      <c r="F22"/>
      <c r="G22" s="15" t="s">
        <v>26</v>
      </c>
      <c r="H22" s="15">
        <f>3</f>
        <v>3</v>
      </c>
      <c r="I22" s="15"/>
      <c r="J22" s="15"/>
      <c r="K22" s="15"/>
      <c r="L22" s="15"/>
      <c r="M22" s="15"/>
      <c r="N22"/>
      <c r="O22" s="2">
        <v>19</v>
      </c>
      <c r="P22" s="1">
        <v>92</v>
      </c>
      <c r="Q22" s="1">
        <v>51</v>
      </c>
      <c r="R22" s="7">
        <v>42</v>
      </c>
      <c r="S22" s="36">
        <f>$V$35+$V$36*Q22+$V$37*R22</f>
        <v>94.064625658538091</v>
      </c>
      <c r="T22"/>
      <c r="U22" s="39" t="s">
        <v>26</v>
      </c>
      <c r="V22" s="39">
        <f>2</f>
        <v>2</v>
      </c>
      <c r="W22" s="39"/>
      <c r="X22" s="39"/>
      <c r="Y22" s="39"/>
      <c r="Z22" s="39"/>
      <c r="AA22" s="39"/>
      <c r="AB22" s="39"/>
    </row>
    <row r="23" spans="1:28" ht="39.6">
      <c r="A23" s="2">
        <v>20</v>
      </c>
      <c r="B23" s="1">
        <v>94</v>
      </c>
      <c r="C23" s="1">
        <v>89500</v>
      </c>
      <c r="D23" s="1">
        <v>52</v>
      </c>
      <c r="E23" s="7">
        <v>45</v>
      </c>
      <c r="F23"/>
      <c r="G23" s="15" t="s">
        <v>27</v>
      </c>
      <c r="H23" s="15">
        <f>24</f>
        <v>24</v>
      </c>
      <c r="I23" s="15"/>
      <c r="J23" s="15"/>
      <c r="K23" s="15"/>
      <c r="L23" s="15"/>
      <c r="M23" s="15"/>
      <c r="O23" s="2">
        <v>20</v>
      </c>
      <c r="P23" s="1">
        <v>94</v>
      </c>
      <c r="Q23" s="1">
        <v>52</v>
      </c>
      <c r="R23" s="7">
        <v>45</v>
      </c>
      <c r="S23" s="36">
        <f>$V$35+$V$36*Q23+$V$37*R23</f>
        <v>100.51641059115724</v>
      </c>
      <c r="T23"/>
      <c r="U23" s="39" t="s">
        <v>27</v>
      </c>
      <c r="V23" s="39">
        <f>24</f>
        <v>24</v>
      </c>
      <c r="W23" s="39"/>
      <c r="X23" s="39"/>
      <c r="Y23" s="39" t="s">
        <v>28</v>
      </c>
      <c r="Z23" s="39"/>
      <c r="AA23" s="39"/>
      <c r="AB23" s="39"/>
    </row>
    <row r="24" spans="1:28" ht="52.8">
      <c r="A24" s="2">
        <v>21</v>
      </c>
      <c r="B24" s="2">
        <v>70</v>
      </c>
      <c r="C24" s="1">
        <v>75700</v>
      </c>
      <c r="D24" s="1">
        <v>37</v>
      </c>
      <c r="E24" s="7">
        <v>33</v>
      </c>
      <c r="F24"/>
      <c r="G24" s="15" t="s">
        <v>29</v>
      </c>
      <c r="H24" s="15">
        <f>1 - (1 - $G$15)*($H$23 - 1)/($H$23 - $H$22 - 1)</f>
        <v>0.90154162120922376</v>
      </c>
      <c r="I24" s="15"/>
      <c r="J24" s="15"/>
      <c r="K24" s="15"/>
      <c r="L24" s="15"/>
      <c r="M24" s="15"/>
      <c r="O24" s="2">
        <v>21</v>
      </c>
      <c r="P24" s="2">
        <v>70</v>
      </c>
      <c r="Q24" s="1">
        <v>37</v>
      </c>
      <c r="R24" s="7">
        <v>33</v>
      </c>
      <c r="S24" s="36">
        <f>$V$35+$V$36*Q24+$V$37*R24</f>
        <v>67.673730576828547</v>
      </c>
      <c r="T24"/>
      <c r="U24" s="39" t="s">
        <v>29</v>
      </c>
      <c r="V24" s="39">
        <f>1 - (1 - $U$15)*($V$23 - 1)/($V$23 - $V$22 - 1)</f>
        <v>0.89771821393786311</v>
      </c>
      <c r="W24" s="39"/>
      <c r="X24" s="39"/>
      <c r="Y24" s="39" t="s">
        <v>30</v>
      </c>
      <c r="Z24" s="39"/>
      <c r="AA24" s="39"/>
      <c r="AB24" s="39"/>
    </row>
    <row r="25" spans="1:28" ht="15.6">
      <c r="A25" s="2">
        <v>22</v>
      </c>
      <c r="B25" s="2">
        <v>39</v>
      </c>
      <c r="C25" s="1">
        <v>43400</v>
      </c>
      <c r="D25" s="1">
        <v>41</v>
      </c>
      <c r="E25" s="7">
        <v>21</v>
      </c>
      <c r="F25"/>
      <c r="G25" s="15"/>
      <c r="H25" s="15"/>
      <c r="I25" s="15"/>
      <c r="J25" s="15"/>
      <c r="K25" s="15"/>
      <c r="L25" s="15"/>
      <c r="M25" s="15"/>
      <c r="O25" s="2">
        <v>22</v>
      </c>
      <c r="P25" s="2">
        <v>39</v>
      </c>
      <c r="Q25" s="1">
        <v>41</v>
      </c>
      <c r="R25" s="7">
        <v>21</v>
      </c>
      <c r="S25" s="36">
        <f>$V$35+$V$36*Q25+$V$37*R25</f>
        <v>46.983347416426128</v>
      </c>
      <c r="T25"/>
      <c r="U25" s="39"/>
      <c r="V25" s="39"/>
      <c r="W25" s="39"/>
      <c r="X25" s="39"/>
      <c r="Y25" s="39"/>
      <c r="Z25" s="39"/>
      <c r="AA25" s="39"/>
      <c r="AB25" s="39"/>
    </row>
    <row r="26" spans="1:28" ht="39.6">
      <c r="A26" s="2">
        <v>23</v>
      </c>
      <c r="B26" s="2">
        <v>61</v>
      </c>
      <c r="C26" s="1">
        <v>67700</v>
      </c>
      <c r="D26" s="1">
        <v>15</v>
      </c>
      <c r="E26" s="7">
        <v>45</v>
      </c>
      <c r="F26"/>
      <c r="G26" s="15" t="s">
        <v>31</v>
      </c>
      <c r="H26" s="15"/>
      <c r="I26" s="15"/>
      <c r="J26" s="15"/>
      <c r="K26" s="15"/>
      <c r="L26" s="15"/>
      <c r="M26" s="15"/>
      <c r="O26" s="2">
        <v>23</v>
      </c>
      <c r="P26" s="2">
        <v>61</v>
      </c>
      <c r="Q26" s="1">
        <v>15</v>
      </c>
      <c r="R26" s="7">
        <v>45</v>
      </c>
      <c r="S26" s="36">
        <f>$V$35+$V$36*Q26+$V$37*R26</f>
        <v>76.85141145456393</v>
      </c>
      <c r="T26"/>
      <c r="U26" s="39" t="s">
        <v>31</v>
      </c>
      <c r="V26" s="39"/>
      <c r="W26" s="39"/>
      <c r="X26" s="39"/>
      <c r="Y26" s="39"/>
      <c r="Z26" s="39"/>
      <c r="AA26" s="39"/>
      <c r="AB26" s="39"/>
    </row>
    <row r="27" spans="1:28" ht="26.4">
      <c r="A27" s="11">
        <v>24</v>
      </c>
      <c r="B27" s="11">
        <v>40</v>
      </c>
      <c r="C27" s="8">
        <v>75000</v>
      </c>
      <c r="D27" s="8">
        <v>5</v>
      </c>
      <c r="E27" s="10">
        <v>27</v>
      </c>
      <c r="F27"/>
      <c r="G27" s="15"/>
      <c r="H27" s="15" t="s">
        <v>32</v>
      </c>
      <c r="I27" s="15" t="s">
        <v>33</v>
      </c>
      <c r="J27" s="15" t="s">
        <v>34</v>
      </c>
      <c r="K27" s="15" t="s">
        <v>35</v>
      </c>
      <c r="L27" s="15" t="s">
        <v>36</v>
      </c>
      <c r="M27" s="15"/>
      <c r="O27" s="2">
        <v>24</v>
      </c>
      <c r="P27" s="2">
        <v>40</v>
      </c>
      <c r="Q27" s="1">
        <v>5</v>
      </c>
      <c r="R27" s="7">
        <v>27</v>
      </c>
      <c r="S27" s="36">
        <f>$V$35+$V$36*Q27+$V$37*R27</f>
        <v>35.582323573811863</v>
      </c>
      <c r="T27"/>
      <c r="U27" s="39"/>
      <c r="V27" s="39" t="s">
        <v>32</v>
      </c>
      <c r="W27" s="39" t="s">
        <v>33</v>
      </c>
      <c r="X27" s="39" t="s">
        <v>34</v>
      </c>
      <c r="Y27" s="39" t="s">
        <v>35</v>
      </c>
      <c r="Z27" s="39" t="s">
        <v>36</v>
      </c>
      <c r="AA27" s="39"/>
      <c r="AB27" s="39"/>
    </row>
    <row r="28" spans="1:28">
      <c r="A28"/>
      <c r="B28"/>
      <c r="C28"/>
      <c r="D28"/>
      <c r="E28"/>
      <c r="F28"/>
      <c r="G28" s="15" t="s">
        <v>37</v>
      </c>
      <c r="H28" s="15">
        <f>$H$22</f>
        <v>3</v>
      </c>
      <c r="I28" s="15">
        <f>$G$17</f>
        <v>11827.862073230475</v>
      </c>
      <c r="J28" s="15">
        <f>$G$17 / $H$28</f>
        <v>3942.6206910768251</v>
      </c>
      <c r="K28" s="15">
        <f>$G$16</f>
        <v>71.200415452959902</v>
      </c>
      <c r="L28" s="15">
        <f>_xlfn.F.DIST.RT($G$16, $H$28, $H$16)</f>
        <v>7.519136790561293E-11</v>
      </c>
      <c r="M28" s="15"/>
      <c r="O28"/>
      <c r="P28"/>
      <c r="Q28"/>
      <c r="R28"/>
      <c r="S28"/>
      <c r="T28"/>
      <c r="U28" s="39" t="s">
        <v>37</v>
      </c>
      <c r="V28" s="39">
        <f>$V$22</f>
        <v>2</v>
      </c>
      <c r="W28" s="39">
        <f>$U$17</f>
        <v>11727.332075529377</v>
      </c>
      <c r="X28" s="39">
        <f>$U$17 / $V$28</f>
        <v>5863.6660377646886</v>
      </c>
      <c r="Y28" s="39">
        <f>$U$16</f>
        <v>101.93448557902248</v>
      </c>
      <c r="Z28" s="39">
        <f>_xlfn.F.DIST.RT($U$16, $V$28, $V$16)</f>
        <v>1.5418513293294998E-11</v>
      </c>
      <c r="AA28" s="39"/>
      <c r="AB28" s="39"/>
    </row>
    <row r="29" spans="1:28">
      <c r="A29"/>
      <c r="B29"/>
      <c r="C29"/>
      <c r="D29"/>
      <c r="E29"/>
      <c r="F29"/>
      <c r="G29" s="15" t="s">
        <v>38</v>
      </c>
      <c r="H29" s="15">
        <f>$H$16</f>
        <v>20</v>
      </c>
      <c r="I29" s="15">
        <f>$H$17</f>
        <v>1107.471260102858</v>
      </c>
      <c r="J29" s="15">
        <f>$H$17 / $H$16</f>
        <v>55.373563005142898</v>
      </c>
      <c r="K29" s="15"/>
      <c r="L29" s="15"/>
      <c r="M29" s="15"/>
      <c r="O29"/>
      <c r="P29"/>
      <c r="Q29"/>
      <c r="R29"/>
      <c r="S29"/>
      <c r="T29"/>
      <c r="U29" s="39" t="s">
        <v>38</v>
      </c>
      <c r="V29" s="39">
        <f>$V$16</f>
        <v>21</v>
      </c>
      <c r="W29" s="39">
        <f>$V$17</f>
        <v>1208.0012578039568</v>
      </c>
      <c r="X29" s="39">
        <f>$V$17 / $V$16</f>
        <v>57.523869419236043</v>
      </c>
      <c r="Y29" s="39"/>
      <c r="Z29" s="39"/>
      <c r="AA29" s="39"/>
      <c r="AB29" s="39"/>
    </row>
    <row r="30" spans="1:28">
      <c r="A30"/>
      <c r="B30"/>
      <c r="C30"/>
      <c r="D30"/>
      <c r="E30"/>
      <c r="F30"/>
      <c r="G30" s="15" t="s">
        <v>39</v>
      </c>
      <c r="H30" s="15">
        <f>$H$28 + $H$16</f>
        <v>23</v>
      </c>
      <c r="I30" s="15">
        <f>$G$17 + $H$17</f>
        <v>12935.333333333334</v>
      </c>
      <c r="J30" s="15"/>
      <c r="K30" s="15"/>
      <c r="L30" s="15"/>
      <c r="M30" s="15"/>
      <c r="O30"/>
      <c r="P30"/>
      <c r="Q30"/>
      <c r="R30"/>
      <c r="S30"/>
      <c r="T30"/>
      <c r="U30" s="39" t="s">
        <v>39</v>
      </c>
      <c r="V30" s="39">
        <f>$V$28 + $V$16</f>
        <v>23</v>
      </c>
      <c r="W30" s="39">
        <f>$U$17 + $V$17</f>
        <v>12935.333333333334</v>
      </c>
      <c r="X30" s="39"/>
      <c r="Y30" s="39"/>
      <c r="Z30" s="39"/>
      <c r="AA30" s="39"/>
      <c r="AB30" s="39"/>
    </row>
    <row r="31" spans="1:28">
      <c r="A31"/>
      <c r="B31"/>
      <c r="C31"/>
      <c r="D31"/>
      <c r="E31"/>
      <c r="F31"/>
      <c r="G31" s="15"/>
      <c r="H31" s="15"/>
      <c r="I31" s="15"/>
      <c r="J31" s="15"/>
      <c r="K31" s="15"/>
      <c r="L31" s="15"/>
      <c r="M31" s="15"/>
      <c r="O31"/>
      <c r="P31"/>
      <c r="Q31"/>
      <c r="R31"/>
      <c r="S31"/>
      <c r="T31"/>
      <c r="U31" s="39"/>
      <c r="V31" s="39"/>
      <c r="W31" s="39"/>
      <c r="X31" s="39"/>
      <c r="Y31" s="39"/>
      <c r="Z31" s="39"/>
      <c r="AA31" s="39"/>
      <c r="AB31" s="39"/>
    </row>
    <row r="32" spans="1:28" ht="26.4">
      <c r="A32"/>
      <c r="B32"/>
      <c r="C32"/>
      <c r="D32"/>
      <c r="E32"/>
      <c r="F32"/>
      <c r="G32" s="15" t="s">
        <v>40</v>
      </c>
      <c r="H32" s="15">
        <v>0.95</v>
      </c>
      <c r="I32" s="15"/>
      <c r="J32" s="15"/>
      <c r="K32" s="15"/>
      <c r="L32" s="15"/>
      <c r="M32" s="15"/>
      <c r="O32"/>
      <c r="P32"/>
      <c r="Q32"/>
      <c r="R32"/>
      <c r="S32"/>
      <c r="T32"/>
      <c r="U32" s="39" t="s">
        <v>40</v>
      </c>
      <c r="V32" s="39">
        <v>0.95</v>
      </c>
      <c r="W32" s="39"/>
      <c r="X32" s="39"/>
      <c r="Y32" s="39"/>
      <c r="Z32" s="39"/>
      <c r="AA32" s="39"/>
      <c r="AB32" s="39"/>
    </row>
    <row r="33" spans="1:28">
      <c r="A33"/>
      <c r="B33"/>
      <c r="C33"/>
      <c r="D33"/>
      <c r="E33"/>
      <c r="F33"/>
      <c r="G33" s="15"/>
      <c r="H33" s="15"/>
      <c r="I33" s="15"/>
      <c r="J33" s="15"/>
      <c r="K33" s="15"/>
      <c r="L33" s="15"/>
      <c r="M33" s="15"/>
      <c r="O33"/>
      <c r="P33"/>
      <c r="Q33"/>
      <c r="R33"/>
      <c r="S33"/>
      <c r="T33"/>
      <c r="U33" s="39"/>
      <c r="V33" s="39"/>
      <c r="W33" s="39"/>
      <c r="X33" s="39"/>
      <c r="Y33" s="39"/>
      <c r="Z33" s="39"/>
      <c r="AA33" s="39"/>
      <c r="AB33" s="39"/>
    </row>
    <row r="34" spans="1:28" ht="26.4">
      <c r="A34"/>
      <c r="B34"/>
      <c r="C34"/>
      <c r="D34"/>
      <c r="E34"/>
      <c r="F34"/>
      <c r="G34" s="15"/>
      <c r="H34" s="15" t="s">
        <v>41</v>
      </c>
      <c r="I34" s="15" t="s">
        <v>25</v>
      </c>
      <c r="J34" s="15" t="s">
        <v>42</v>
      </c>
      <c r="K34" s="15" t="s">
        <v>43</v>
      </c>
      <c r="L34" s="15" t="e">
        <f ca="1">COM.MICROSOFT.CONCAT("Нижний ", INT($H$32 * 100), "%")</f>
        <v>#NAME?</v>
      </c>
      <c r="M34" s="15" t="e">
        <f ca="1">COM.MICROSOFT.CONCAT("Верхний ", INT($H$32 * 100), "%")</f>
        <v>#NAME?</v>
      </c>
      <c r="O34"/>
      <c r="P34"/>
      <c r="Q34"/>
      <c r="R34"/>
      <c r="S34"/>
      <c r="T34"/>
      <c r="U34" s="39"/>
      <c r="V34" s="39" t="s">
        <v>41</v>
      </c>
      <c r="W34" s="39" t="s">
        <v>25</v>
      </c>
      <c r="X34" s="39" t="s">
        <v>42</v>
      </c>
      <c r="Y34" s="39" t="s">
        <v>43</v>
      </c>
      <c r="Z34" s="39" t="e">
        <f ca="1">COM.MICROSOFT.CONCAT("Нижний ", INT($V$32 * 100), "%")</f>
        <v>#NAME?</v>
      </c>
      <c r="AA34" s="39" t="e">
        <f ca="1">COM.MICROSOFT.CONCAT("Верхний ", INT($V$32 * 100), "%")</f>
        <v>#NAME?</v>
      </c>
      <c r="AB34" s="39"/>
    </row>
    <row r="35" spans="1:28" ht="26.4">
      <c r="A35"/>
      <c r="B35"/>
      <c r="C35"/>
      <c r="D35"/>
      <c r="E35"/>
      <c r="F35"/>
      <c r="G35" s="15" t="str">
        <f>"Пересечение"</f>
        <v>Пересечение</v>
      </c>
      <c r="H35" s="15">
        <f t="array" ref="H35:H38">INDEX($G$13:$J$13, 1, ROW($H$38)+1 - ROW())</f>
        <v>-20.795294290672729</v>
      </c>
      <c r="I35" s="15">
        <f t="array" ref="I35:I38">INDEX($G$14:$J$14, 1, ROW($I$38)+1 - ROW())</f>
        <v>5.524777588758969</v>
      </c>
      <c r="J35" s="15">
        <f t="array" ref="J35:J38">$H$35:$H$38 / $I$35:$I$38</f>
        <v>-3.7640056919185367</v>
      </c>
      <c r="K35" s="15">
        <f t="array" ref="K35:K38">TDIST(ABS($J$35:$J$38), $H$16, 2 )</f>
        <v>1.220840444666524E-3</v>
      </c>
      <c r="L35" s="15">
        <f t="array" ref="L35:L38">$H$35:$H$38 - $I$35:$I$38 * _xlfn.T.INV.2T(1 - $H$32, $H$16)</f>
        <v>-32.319778395097579</v>
      </c>
      <c r="M35" s="15">
        <f t="array" ref="M35:M38">$H$35:$H$38 + $I$35:$I$38 * _xlfn.T.INV.2T(1 - $H$32, $H$16)</f>
        <v>-9.2708101862478767</v>
      </c>
      <c r="O35"/>
      <c r="P35"/>
      <c r="Q35"/>
      <c r="R35"/>
      <c r="S35"/>
      <c r="T35"/>
      <c r="U35" s="39" t="str">
        <f>"Пересечение"</f>
        <v>Пересечение</v>
      </c>
      <c r="V35" s="39">
        <f t="array" ref="V35:V37">INDEX($U$13:$W$13, 1, ROW($V$37)+1 - ROW())</f>
        <v>-19.925362534723469</v>
      </c>
      <c r="W35" s="39">
        <f t="array" ref="W35:W37">INDEX($U$14:$W$14, 1, ROW($W$37)+1 - ROW())</f>
        <v>5.5924440471275032</v>
      </c>
      <c r="X35" s="39">
        <f t="array" ref="X35:X37">$V$35:$V$37 / $W$35:$W$37</f>
        <v>-3.562907803245329</v>
      </c>
      <c r="Y35" s="39">
        <f t="array" ref="Y35:Y37">TDIST(ABS($X$35:$X$37), $V$16, 2 )</f>
        <v>1.8379835842490125E-3</v>
      </c>
      <c r="Z35" s="39">
        <f t="array" ref="Z35:Z37">$V$35:$V$37 - $W$35:$W$37 * _xlfn.T.INV.2T(1 - $V$32, $V$16)</f>
        <v>-31.555486600994723</v>
      </c>
      <c r="AA35" s="39">
        <f t="array" ref="AA35:AA37">$V$35:$V$37 + $W$35:$W$37 * _xlfn.T.INV.2T(1 - $V$32, $V$16)</f>
        <v>-8.2952384684522151</v>
      </c>
      <c r="AB35" s="39"/>
    </row>
    <row r="36" spans="1:28">
      <c r="A36"/>
      <c r="B36"/>
      <c r="C36"/>
      <c r="D36"/>
      <c r="E36"/>
      <c r="F36"/>
      <c r="G36" s="15" t="str">
        <f>"X1"</f>
        <v>X1</v>
      </c>
      <c r="H36" s="15">
        <v>2.1405421930914203E-4</v>
      </c>
      <c r="I36" s="15">
        <v>1.5886462100287883E-4</v>
      </c>
      <c r="J36" s="15">
        <v>1.3474001823556618</v>
      </c>
      <c r="K36" s="15">
        <v>0.19291905189990854</v>
      </c>
      <c r="L36" s="15">
        <v>-1.173315731666082E-4</v>
      </c>
      <c r="M36" s="15">
        <v>5.454400117848923E-4</v>
      </c>
      <c r="O36"/>
      <c r="P36"/>
      <c r="Q36"/>
      <c r="R36"/>
      <c r="S36"/>
      <c r="T36"/>
      <c r="U36" s="39" t="str">
        <f>"X1"</f>
        <v>X1</v>
      </c>
      <c r="V36" s="39">
        <v>0.63959457125927865</v>
      </c>
      <c r="W36" s="39">
        <v>0.14675191042644251</v>
      </c>
      <c r="X36" s="39">
        <v>4.3583389776712114</v>
      </c>
      <c r="Y36" s="39">
        <v>2.758089577190107E-4</v>
      </c>
      <c r="Z36" s="39">
        <v>0.33440726659621245</v>
      </c>
      <c r="AA36" s="39">
        <v>0.94478187592234486</v>
      </c>
      <c r="AB36" s="39"/>
    </row>
    <row r="37" spans="1:28">
      <c r="A37"/>
      <c r="B37"/>
      <c r="C37"/>
      <c r="D37"/>
      <c r="E37"/>
      <c r="F37"/>
      <c r="G37" s="15" t="str">
        <f>"X2"</f>
        <v>X2</v>
      </c>
      <c r="H37" s="15">
        <v>0.53825215862848197</v>
      </c>
      <c r="I37" s="15">
        <v>0.16244420343823948</v>
      </c>
      <c r="J37" s="15">
        <v>3.313458696807996</v>
      </c>
      <c r="K37" s="15">
        <v>3.4675646664711966E-3</v>
      </c>
      <c r="L37" s="15">
        <v>0.19939948803609447</v>
      </c>
      <c r="M37" s="15">
        <v>0.87710482922086941</v>
      </c>
      <c r="O37"/>
      <c r="P37"/>
      <c r="Q37"/>
      <c r="R37"/>
      <c r="S37"/>
      <c r="T37"/>
      <c r="U37" s="39" t="str">
        <f>"X2"</f>
        <v>X2</v>
      </c>
      <c r="V37" s="39">
        <v>1.9373967871199607</v>
      </c>
      <c r="W37" s="39">
        <v>0.20170328296283044</v>
      </c>
      <c r="X37" s="39">
        <v>9.6051822194534182</v>
      </c>
      <c r="Y37" s="39">
        <v>3.9039677727634863E-9</v>
      </c>
      <c r="Z37" s="39">
        <v>1.5179318473434338</v>
      </c>
      <c r="AA37" s="39">
        <v>2.3568617268964878</v>
      </c>
      <c r="AB37" s="39"/>
    </row>
    <row r="38" spans="1:28">
      <c r="A38"/>
      <c r="B38"/>
      <c r="C38"/>
      <c r="D38"/>
      <c r="E38"/>
      <c r="F38"/>
      <c r="G38" s="15" t="str">
        <f>"X3"</f>
        <v>X3</v>
      </c>
      <c r="H38" s="15">
        <v>1.6118842494073093</v>
      </c>
      <c r="I38" s="15">
        <v>0.31229315606298269</v>
      </c>
      <c r="J38" s="15">
        <v>5.1614459622747146</v>
      </c>
      <c r="K38" s="15">
        <v>4.7474242519989869E-5</v>
      </c>
      <c r="L38" s="15">
        <v>0.9604521410286333</v>
      </c>
      <c r="M38" s="15">
        <v>2.2633163577859854</v>
      </c>
      <c r="O38"/>
      <c r="P38"/>
      <c r="U38" s="39"/>
      <c r="V38" s="39"/>
      <c r="W38" s="39"/>
      <c r="X38" s="39"/>
      <c r="Y38" s="39"/>
      <c r="Z38" s="40"/>
      <c r="AA38" s="40"/>
      <c r="AB38" s="40"/>
    </row>
    <row r="39" spans="1:28" ht="26.4">
      <c r="A39"/>
      <c r="B39"/>
      <c r="C39"/>
      <c r="D39"/>
      <c r="E39"/>
      <c r="F39"/>
      <c r="G39" s="15"/>
      <c r="H39" s="15"/>
      <c r="I39" s="15"/>
      <c r="J39" s="15"/>
      <c r="K39" s="15"/>
      <c r="L39" s="15"/>
      <c r="M39" s="15"/>
      <c r="O39"/>
      <c r="P39"/>
      <c r="U39" s="39" t="str">
        <f>"X1"</f>
        <v>X1</v>
      </c>
      <c r="V39" s="39" t="str">
        <f>"X2"</f>
        <v>X2</v>
      </c>
      <c r="W39" s="39" t="s">
        <v>44</v>
      </c>
      <c r="X39" s="39" t="str">
        <f>"Y"</f>
        <v>Y</v>
      </c>
      <c r="Y39" s="39" t="s">
        <v>38</v>
      </c>
      <c r="Z39" s="42"/>
      <c r="AA39" s="42"/>
      <c r="AB39" s="42"/>
    </row>
    <row r="40" spans="1:28">
      <c r="A40"/>
      <c r="B40"/>
      <c r="C40"/>
      <c r="D40"/>
      <c r="E40"/>
      <c r="F40"/>
      <c r="G40" s="15" t="str">
        <f>"X1"</f>
        <v>X1</v>
      </c>
      <c r="H40" s="15" t="str">
        <f>"X2"</f>
        <v>X2</v>
      </c>
      <c r="I40" s="15" t="str">
        <f>"X3"</f>
        <v>X3</v>
      </c>
      <c r="J40" s="15" t="s">
        <v>44</v>
      </c>
      <c r="K40" s="15" t="str">
        <f>"Y"</f>
        <v>Y</v>
      </c>
      <c r="L40" s="15" t="s">
        <v>38</v>
      </c>
      <c r="M40" s="15"/>
      <c r="O40"/>
      <c r="P40"/>
      <c r="U40" s="39">
        <f t="array" ref="U40:V63">$Q$4:$R$27</f>
        <v>35</v>
      </c>
      <c r="V40" s="39">
        <v>31</v>
      </c>
      <c r="W40" s="39">
        <f t="array" ref="W40:W63">MMULT($U$40:$V$63, $V$36:$V$37) + $V$35</f>
        <v>62.519747860070062</v>
      </c>
      <c r="X40" s="39">
        <f t="array" ref="X40:X63">$P$4:$P$27</f>
        <v>60</v>
      </c>
      <c r="Y40" s="39">
        <f t="array" ref="Y40:Y63">$X$40:$X$63 - $W$40:$W$63</f>
        <v>-2.519747860070062</v>
      </c>
      <c r="Z40" s="42"/>
      <c r="AA40" s="42"/>
      <c r="AB40" s="42"/>
    </row>
    <row r="41" spans="1:28">
      <c r="A41"/>
      <c r="B41"/>
      <c r="C41"/>
      <c r="D41"/>
      <c r="E41"/>
      <c r="F41"/>
      <c r="G41" s="15">
        <f t="array" ref="G41:I64">$C$4:$E$27</f>
        <v>65000</v>
      </c>
      <c r="H41" s="15">
        <v>35</v>
      </c>
      <c r="I41" s="15">
        <v>31</v>
      </c>
      <c r="J41" s="15">
        <f t="array" ref="J41:J64">MMULT($G$41:$I$64, $H$36:$H$38) + $H$35</f>
        <v>61.925467248044953</v>
      </c>
      <c r="K41" s="15">
        <f t="array" ref="K41:K64">$B$4:$B$27</f>
        <v>60</v>
      </c>
      <c r="L41" s="15">
        <f t="array" ref="L41:L64">$K$41:$K$64 - $J$41:$J$64</f>
        <v>-1.9254672480449528</v>
      </c>
      <c r="M41" s="15"/>
      <c r="O41"/>
      <c r="P41"/>
      <c r="U41" s="39">
        <v>22</v>
      </c>
      <c r="V41" s="39">
        <v>22</v>
      </c>
      <c r="W41" s="39">
        <v>36.768447349619798</v>
      </c>
      <c r="X41" s="39">
        <v>34</v>
      </c>
      <c r="Y41" s="39">
        <v>-2.7684473496197981</v>
      </c>
      <c r="Z41" s="42"/>
      <c r="AA41" s="42"/>
      <c r="AB41" s="42"/>
    </row>
    <row r="42" spans="1:28">
      <c r="A42"/>
      <c r="B42"/>
      <c r="C42"/>
      <c r="D42"/>
      <c r="E42"/>
      <c r="F42"/>
      <c r="G42" s="15">
        <v>35500</v>
      </c>
      <c r="H42" s="15">
        <v>22</v>
      </c>
      <c r="I42" s="15">
        <v>22</v>
      </c>
      <c r="J42" s="15">
        <v>34.106631471589225</v>
      </c>
      <c r="K42" s="15">
        <v>34</v>
      </c>
      <c r="L42" s="15">
        <v>-0.1066314715892247</v>
      </c>
      <c r="M42" s="15"/>
      <c r="O42"/>
      <c r="P42"/>
      <c r="U42" s="39">
        <v>32</v>
      </c>
      <c r="V42" s="39">
        <v>27</v>
      </c>
      <c r="W42" s="39">
        <v>52.851376997812388</v>
      </c>
      <c r="X42" s="39">
        <v>56</v>
      </c>
      <c r="Y42" s="39">
        <v>3.1486230021876125</v>
      </c>
      <c r="Z42" s="42"/>
      <c r="AA42" s="42"/>
      <c r="AB42" s="42"/>
    </row>
    <row r="43" spans="1:28">
      <c r="A43"/>
      <c r="B43"/>
      <c r="C43"/>
      <c r="D43"/>
      <c r="E43"/>
      <c r="F43"/>
      <c r="G43" s="15">
        <v>60000</v>
      </c>
      <c r="H43" s="15">
        <v>32</v>
      </c>
      <c r="I43" s="15">
        <v>27</v>
      </c>
      <c r="J43" s="15">
        <v>52.792902677984571</v>
      </c>
      <c r="K43" s="15">
        <v>56</v>
      </c>
      <c r="L43" s="15">
        <v>3.2070973220154286</v>
      </c>
      <c r="M43" s="15"/>
      <c r="O43"/>
      <c r="P43"/>
      <c r="U43" s="39">
        <v>16</v>
      </c>
      <c r="V43" s="39">
        <v>17</v>
      </c>
      <c r="W43" s="39">
        <v>23.243895986464324</v>
      </c>
      <c r="X43" s="39">
        <v>30</v>
      </c>
      <c r="Y43" s="39">
        <v>6.7561040135356762</v>
      </c>
      <c r="Z43" s="42"/>
      <c r="AA43" s="42"/>
      <c r="AB43" s="42"/>
    </row>
    <row r="44" spans="1:28">
      <c r="A44"/>
      <c r="B44"/>
      <c r="C44"/>
      <c r="D44"/>
      <c r="E44"/>
      <c r="F44"/>
      <c r="G44" s="15">
        <v>35000</v>
      </c>
      <c r="H44" s="15">
        <v>16</v>
      </c>
      <c r="I44" s="15">
        <v>17</v>
      </c>
      <c r="J44" s="15">
        <v>22.710670163127219</v>
      </c>
      <c r="K44" s="15">
        <v>30</v>
      </c>
      <c r="L44" s="15">
        <v>7.2893298368727812</v>
      </c>
      <c r="M44" s="15"/>
      <c r="O44"/>
      <c r="P44"/>
      <c r="U44" s="39">
        <v>30</v>
      </c>
      <c r="V44" s="39">
        <v>25</v>
      </c>
      <c r="W44" s="39">
        <v>47.69739428105391</v>
      </c>
      <c r="X44" s="39">
        <v>56</v>
      </c>
      <c r="Y44" s="39">
        <v>8.30260571894609</v>
      </c>
      <c r="Z44" s="42"/>
      <c r="AA44" s="42"/>
      <c r="AB44" s="42"/>
    </row>
    <row r="45" spans="1:28">
      <c r="A45"/>
      <c r="B45"/>
      <c r="C45"/>
      <c r="D45"/>
      <c r="E45"/>
      <c r="F45"/>
      <c r="G45" s="15">
        <v>59000</v>
      </c>
      <c r="H45" s="15">
        <v>30</v>
      </c>
      <c r="I45" s="15">
        <v>25</v>
      </c>
      <c r="J45" s="15">
        <v>48.27857564260384</v>
      </c>
      <c r="K45" s="15">
        <v>56</v>
      </c>
      <c r="L45" s="15">
        <v>7.7214243573961596</v>
      </c>
      <c r="M45" s="15"/>
      <c r="O45"/>
      <c r="P45"/>
      <c r="U45" s="39">
        <v>33</v>
      </c>
      <c r="V45" s="39">
        <v>21</v>
      </c>
      <c r="W45" s="39">
        <v>41.866590846351897</v>
      </c>
      <c r="X45" s="39">
        <v>34</v>
      </c>
      <c r="Y45" s="39">
        <v>-7.8665908463518974</v>
      </c>
      <c r="Z45" s="42"/>
      <c r="AA45" s="42"/>
      <c r="AB45" s="42"/>
    </row>
    <row r="46" spans="1:28">
      <c r="A46"/>
      <c r="B46"/>
      <c r="C46"/>
      <c r="D46"/>
      <c r="E46"/>
      <c r="F46"/>
      <c r="G46" s="15">
        <v>35500</v>
      </c>
      <c r="H46" s="15">
        <v>33</v>
      </c>
      <c r="I46" s="15">
        <v>21</v>
      </c>
      <c r="J46" s="15">
        <v>38.415520967095212</v>
      </c>
      <c r="K46" s="15">
        <v>34</v>
      </c>
      <c r="L46" s="15">
        <v>-4.4155209670952118</v>
      </c>
      <c r="M46" s="15"/>
      <c r="O46"/>
      <c r="P46"/>
      <c r="U46" s="39">
        <v>41</v>
      </c>
      <c r="V46" s="39">
        <v>35</v>
      </c>
      <c r="W46" s="39">
        <v>74.106902436105599</v>
      </c>
      <c r="X46" s="39">
        <v>80</v>
      </c>
      <c r="Y46" s="39">
        <v>5.8930975638944005</v>
      </c>
      <c r="Z46" s="42"/>
      <c r="AA46" s="42"/>
      <c r="AB46" s="42"/>
    </row>
    <row r="47" spans="1:28">
      <c r="A47"/>
      <c r="B47"/>
      <c r="C47"/>
      <c r="D47"/>
      <c r="E47"/>
      <c r="F47"/>
      <c r="G47" s="15">
        <v>77800</v>
      </c>
      <c r="H47" s="15">
        <v>41</v>
      </c>
      <c r="I47" s="15">
        <v>35</v>
      </c>
      <c r="J47" s="15">
        <v>74.342411204602115</v>
      </c>
      <c r="K47" s="15">
        <v>80</v>
      </c>
      <c r="L47" s="15">
        <v>5.657588795397885</v>
      </c>
      <c r="M47" s="15"/>
      <c r="O47"/>
      <c r="P47"/>
      <c r="U47" s="39">
        <v>27</v>
      </c>
      <c r="V47" s="39">
        <v>25</v>
      </c>
      <c r="W47" s="39">
        <v>45.778610567276068</v>
      </c>
      <c r="X47" s="39">
        <v>48</v>
      </c>
      <c r="Y47" s="39">
        <v>2.2213894327239316</v>
      </c>
      <c r="Z47" s="42"/>
      <c r="AA47" s="42"/>
      <c r="AB47" s="42"/>
    </row>
    <row r="48" spans="1:28">
      <c r="A48"/>
      <c r="B48"/>
      <c r="C48"/>
      <c r="D48"/>
      <c r="E48"/>
      <c r="F48"/>
      <c r="G48" s="15">
        <v>51400</v>
      </c>
      <c r="H48" s="15">
        <v>27</v>
      </c>
      <c r="I48" s="15">
        <v>25</v>
      </c>
      <c r="J48" s="15">
        <v>45.037007099968918</v>
      </c>
      <c r="K48" s="15">
        <v>48</v>
      </c>
      <c r="L48" s="15">
        <v>2.9629929000310824</v>
      </c>
      <c r="M48" s="15"/>
      <c r="O48"/>
      <c r="P48"/>
      <c r="U48" s="39">
        <v>35</v>
      </c>
      <c r="V48" s="39">
        <v>19</v>
      </c>
      <c r="W48" s="39">
        <v>39.270986414630535</v>
      </c>
      <c r="X48" s="39">
        <v>28</v>
      </c>
      <c r="Y48" s="39">
        <v>-11.270986414630535</v>
      </c>
      <c r="Z48" s="42"/>
      <c r="AA48" s="42"/>
      <c r="AB48" s="42"/>
    </row>
    <row r="49" spans="1:28">
      <c r="A49"/>
      <c r="B49"/>
      <c r="C49"/>
      <c r="D49"/>
      <c r="E49"/>
      <c r="F49"/>
      <c r="G49" s="15">
        <v>65000</v>
      </c>
      <c r="H49" s="15">
        <v>35</v>
      </c>
      <c r="I49" s="15">
        <v>19</v>
      </c>
      <c r="J49" s="15">
        <v>42.582856255157253</v>
      </c>
      <c r="K49" s="15">
        <v>28</v>
      </c>
      <c r="L49" s="15">
        <v>-14.582856255157253</v>
      </c>
      <c r="M49" s="15"/>
      <c r="O49"/>
      <c r="P49"/>
      <c r="U49" s="39">
        <v>31</v>
      </c>
      <c r="V49" s="39">
        <v>27</v>
      </c>
      <c r="W49" s="39">
        <v>52.211782426553107</v>
      </c>
      <c r="X49" s="39">
        <v>58</v>
      </c>
      <c r="Y49" s="39">
        <v>5.788217573446893</v>
      </c>
      <c r="Z49" s="42"/>
      <c r="AA49" s="42"/>
      <c r="AB49" s="42"/>
    </row>
    <row r="50" spans="1:28">
      <c r="A50"/>
      <c r="B50"/>
      <c r="C50"/>
      <c r="D50"/>
      <c r="E50"/>
      <c r="F50"/>
      <c r="G50" s="15">
        <v>59700</v>
      </c>
      <c r="H50" s="15">
        <v>31</v>
      </c>
      <c r="I50" s="15">
        <v>27</v>
      </c>
      <c r="J50" s="15">
        <v>52.190434253563353</v>
      </c>
      <c r="K50" s="15">
        <v>58</v>
      </c>
      <c r="L50" s="15">
        <v>5.8095657464366468</v>
      </c>
      <c r="M50" s="15"/>
      <c r="O50"/>
      <c r="P50"/>
      <c r="U50" s="39">
        <v>37</v>
      </c>
      <c r="V50" s="39">
        <v>33</v>
      </c>
      <c r="W50" s="39">
        <v>67.673730576828547</v>
      </c>
      <c r="X50" s="39">
        <v>68</v>
      </c>
      <c r="Y50" s="39">
        <v>0.32626942317145335</v>
      </c>
      <c r="Z50" s="42"/>
      <c r="AA50" s="42"/>
      <c r="AB50" s="42"/>
    </row>
    <row r="51" spans="1:28">
      <c r="A51"/>
      <c r="B51"/>
      <c r="C51"/>
      <c r="D51"/>
      <c r="E51"/>
      <c r="F51"/>
      <c r="G51" s="15">
        <v>71200</v>
      </c>
      <c r="H51" s="15">
        <v>37</v>
      </c>
      <c r="I51" s="15">
        <v>33</v>
      </c>
      <c r="J51" s="15">
        <v>67.552876223833223</v>
      </c>
      <c r="K51" s="15">
        <v>68</v>
      </c>
      <c r="L51" s="15">
        <v>0.44712377616677657</v>
      </c>
      <c r="M51" s="15"/>
      <c r="O51"/>
      <c r="P51"/>
      <c r="U51" s="39">
        <v>23</v>
      </c>
      <c r="V51" s="39">
        <v>21</v>
      </c>
      <c r="W51" s="39">
        <v>35.470645133759113</v>
      </c>
      <c r="X51" s="39">
        <v>38</v>
      </c>
      <c r="Y51" s="39">
        <v>2.5293548662408867</v>
      </c>
      <c r="Z51" s="42"/>
      <c r="AA51" s="42"/>
      <c r="AB51" s="42"/>
    </row>
    <row r="52" spans="1:28">
      <c r="A52"/>
      <c r="B52"/>
      <c r="C52"/>
      <c r="D52"/>
      <c r="E52"/>
      <c r="F52"/>
      <c r="G52" s="15">
        <v>39900</v>
      </c>
      <c r="H52" s="15">
        <v>23</v>
      </c>
      <c r="I52" s="15">
        <v>21</v>
      </c>
      <c r="J52" s="15">
        <v>33.974837945770616</v>
      </c>
      <c r="K52" s="15">
        <v>38</v>
      </c>
      <c r="L52" s="15">
        <v>4.0251620542293836</v>
      </c>
      <c r="M52" s="15"/>
      <c r="O52"/>
      <c r="P52"/>
      <c r="U52" s="39">
        <v>17</v>
      </c>
      <c r="V52" s="39">
        <v>19</v>
      </c>
      <c r="W52" s="39">
        <v>27.758284131963528</v>
      </c>
      <c r="X52" s="39">
        <v>32</v>
      </c>
      <c r="Y52" s="39">
        <v>4.2417158680364722</v>
      </c>
      <c r="Z52" s="42"/>
      <c r="AA52" s="42"/>
      <c r="AB52" s="42"/>
    </row>
    <row r="53" spans="1:28">
      <c r="A53"/>
      <c r="B53"/>
      <c r="C53"/>
      <c r="D53"/>
      <c r="E53"/>
      <c r="F53"/>
      <c r="G53" s="15">
        <v>34000</v>
      </c>
      <c r="H53" s="15">
        <v>17</v>
      </c>
      <c r="I53" s="15">
        <v>19</v>
      </c>
      <c r="J53" s="15">
        <v>26.258636601261173</v>
      </c>
      <c r="K53" s="15">
        <v>32</v>
      </c>
      <c r="L53" s="15">
        <v>5.7413633987388266</v>
      </c>
      <c r="M53" s="15"/>
      <c r="O53"/>
      <c r="P53"/>
      <c r="U53" s="39">
        <v>35</v>
      </c>
      <c r="V53" s="39">
        <v>15</v>
      </c>
      <c r="W53" s="39">
        <v>31.521399266150688</v>
      </c>
      <c r="X53" s="39">
        <v>18</v>
      </c>
      <c r="Y53" s="39">
        <v>-13.521399266150688</v>
      </c>
      <c r="Z53" s="42"/>
      <c r="AA53" s="42"/>
      <c r="AB53" s="42"/>
    </row>
    <row r="54" spans="1:28">
      <c r="A54"/>
      <c r="B54"/>
      <c r="C54"/>
      <c r="D54"/>
      <c r="E54"/>
      <c r="F54"/>
      <c r="G54" s="15">
        <v>53000</v>
      </c>
      <c r="H54" s="15">
        <v>35</v>
      </c>
      <c r="I54" s="15">
        <v>15</v>
      </c>
      <c r="J54" s="15">
        <v>33.566668625818309</v>
      </c>
      <c r="K54" s="15">
        <v>18</v>
      </c>
      <c r="L54" s="15">
        <v>-15.566668625818309</v>
      </c>
      <c r="M54" s="15"/>
      <c r="O54"/>
      <c r="P54"/>
      <c r="U54" s="39">
        <v>31</v>
      </c>
      <c r="V54" s="39">
        <v>23</v>
      </c>
      <c r="W54" s="39">
        <v>44.46219527807326</v>
      </c>
      <c r="X54" s="39">
        <v>52</v>
      </c>
      <c r="Y54" s="39">
        <v>7.5378047219267401</v>
      </c>
      <c r="Z54" s="42"/>
      <c r="AA54" s="42"/>
      <c r="AB54" s="42"/>
    </row>
    <row r="55" spans="1:28">
      <c r="A55"/>
      <c r="B55"/>
      <c r="C55"/>
      <c r="D55"/>
      <c r="E55"/>
      <c r="F55"/>
      <c r="G55" s="15">
        <v>57200</v>
      </c>
      <c r="H55" s="15">
        <v>31</v>
      </c>
      <c r="I55" s="15">
        <v>23</v>
      </c>
      <c r="J55" s="15">
        <v>45.207761707661263</v>
      </c>
      <c r="K55" s="15">
        <v>52</v>
      </c>
      <c r="L55" s="15">
        <v>6.7922382923387374</v>
      </c>
      <c r="M55" s="15"/>
      <c r="O55"/>
      <c r="P55"/>
      <c r="U55" s="39">
        <v>40</v>
      </c>
      <c r="V55" s="39">
        <v>37</v>
      </c>
      <c r="W55" s="39">
        <v>77.342101439086235</v>
      </c>
      <c r="X55" s="39">
        <v>78</v>
      </c>
      <c r="Y55" s="39">
        <v>0.65789856091376464</v>
      </c>
      <c r="Z55" s="42"/>
      <c r="AA55" s="42"/>
      <c r="AB55" s="42"/>
    </row>
    <row r="56" spans="1:28">
      <c r="A56"/>
      <c r="B56"/>
      <c r="C56"/>
      <c r="D56"/>
      <c r="E56"/>
      <c r="F56"/>
      <c r="G56" s="15">
        <v>79600</v>
      </c>
      <c r="H56" s="15">
        <v>40</v>
      </c>
      <c r="I56" s="15">
        <v>37</v>
      </c>
      <c r="J56" s="15">
        <v>77.413225139544693</v>
      </c>
      <c r="K56" s="15">
        <v>78</v>
      </c>
      <c r="L56" s="15">
        <v>0.58677486045530713</v>
      </c>
      <c r="M56" s="15"/>
      <c r="O56"/>
      <c r="P56"/>
      <c r="U56" s="39">
        <v>53</v>
      </c>
      <c r="V56" s="39">
        <v>41</v>
      </c>
      <c r="W56" s="39">
        <v>93.406418013936701</v>
      </c>
      <c r="X56" s="39">
        <v>98</v>
      </c>
      <c r="Y56" s="39">
        <v>4.5935819860632989</v>
      </c>
      <c r="Z56" s="42"/>
      <c r="AA56" s="42"/>
      <c r="AB56" s="42"/>
    </row>
    <row r="57" spans="1:28">
      <c r="A57"/>
      <c r="B57"/>
      <c r="C57"/>
      <c r="D57"/>
      <c r="E57"/>
      <c r="F57"/>
      <c r="G57" s="15">
        <v>95000</v>
      </c>
      <c r="H57" s="15">
        <v>53</v>
      </c>
      <c r="I57" s="15">
        <v>41</v>
      </c>
      <c r="J57" s="15">
        <v>94.154475176704992</v>
      </c>
      <c r="K57" s="15">
        <v>98</v>
      </c>
      <c r="L57" s="15">
        <v>3.8455248232950083</v>
      </c>
      <c r="M57" s="15"/>
      <c r="O57"/>
      <c r="P57"/>
      <c r="U57" s="39">
        <v>51</v>
      </c>
      <c r="V57" s="39">
        <v>37</v>
      </c>
      <c r="W57" s="39">
        <v>84.377641722938279</v>
      </c>
      <c r="X57" s="39">
        <v>96</v>
      </c>
      <c r="Y57" s="39">
        <v>11.622358277061721</v>
      </c>
      <c r="Z57" s="42"/>
      <c r="AA57" s="42"/>
      <c r="AB57" s="42"/>
    </row>
    <row r="58" spans="1:28">
      <c r="A58"/>
      <c r="B58"/>
      <c r="C58"/>
      <c r="D58"/>
      <c r="E58"/>
      <c r="F58"/>
      <c r="G58" s="15">
        <v>97300</v>
      </c>
      <c r="H58" s="15">
        <v>51</v>
      </c>
      <c r="I58" s="15">
        <v>37</v>
      </c>
      <c r="J58" s="15">
        <v>87.122758566229805</v>
      </c>
      <c r="K58" s="15">
        <v>96</v>
      </c>
      <c r="L58" s="15">
        <v>8.8772414337701946</v>
      </c>
      <c r="M58" s="15"/>
      <c r="O58"/>
      <c r="P58"/>
      <c r="U58" s="39">
        <v>51</v>
      </c>
      <c r="V58" s="39">
        <v>42</v>
      </c>
      <c r="W58" s="39">
        <v>94.064625658538091</v>
      </c>
      <c r="X58" s="39">
        <v>92</v>
      </c>
      <c r="Y58" s="39">
        <v>-2.0646256585380911</v>
      </c>
      <c r="Z58" s="42"/>
      <c r="AA58" s="42"/>
      <c r="AB58" s="42"/>
    </row>
    <row r="59" spans="1:28">
      <c r="A59"/>
      <c r="B59"/>
      <c r="C59"/>
      <c r="D59"/>
      <c r="E59"/>
      <c r="F59"/>
      <c r="G59" s="15">
        <v>95400</v>
      </c>
      <c r="H59" s="15">
        <v>51</v>
      </c>
      <c r="I59" s="15">
        <v>42</v>
      </c>
      <c r="J59" s="15">
        <v>94.775476796578999</v>
      </c>
      <c r="K59" s="15">
        <v>92</v>
      </c>
      <c r="L59" s="15">
        <v>-2.7754767965789995</v>
      </c>
      <c r="M59" s="15"/>
      <c r="O59"/>
      <c r="P59"/>
      <c r="U59" s="39">
        <v>52</v>
      </c>
      <c r="V59" s="39">
        <v>45</v>
      </c>
      <c r="W59" s="39">
        <v>100.51641059115724</v>
      </c>
      <c r="X59" s="39">
        <v>94</v>
      </c>
      <c r="Y59" s="39">
        <v>-6.5164105911572392</v>
      </c>
      <c r="Z59" s="42"/>
      <c r="AA59" s="42"/>
      <c r="AB59" s="42"/>
    </row>
    <row r="60" spans="1:28">
      <c r="A60"/>
      <c r="B60"/>
      <c r="C60"/>
      <c r="D60"/>
      <c r="E60"/>
      <c r="F60"/>
      <c r="G60" s="15">
        <v>89500</v>
      </c>
      <c r="H60" s="15">
        <v>52</v>
      </c>
      <c r="I60" s="15">
        <v>45</v>
      </c>
      <c r="J60" s="15">
        <v>98.886461809505477</v>
      </c>
      <c r="K60" s="15">
        <v>94</v>
      </c>
      <c r="L60" s="15">
        <v>-4.8864618095054766</v>
      </c>
      <c r="M60" s="15"/>
      <c r="O60"/>
      <c r="P60"/>
      <c r="U60" s="39">
        <v>37</v>
      </c>
      <c r="V60" s="39">
        <v>33</v>
      </c>
      <c r="W60" s="39">
        <v>67.673730576828547</v>
      </c>
      <c r="X60" s="39">
        <v>70</v>
      </c>
      <c r="Y60" s="39">
        <v>2.3262694231714534</v>
      </c>
      <c r="Z60" s="42"/>
      <c r="AA60" s="42"/>
      <c r="AB60" s="42"/>
    </row>
    <row r="61" spans="1:28">
      <c r="A61"/>
      <c r="B61"/>
      <c r="C61"/>
      <c r="D61"/>
      <c r="E61"/>
      <c r="F61"/>
      <c r="G61" s="15">
        <v>75700</v>
      </c>
      <c r="H61" s="15">
        <v>37</v>
      </c>
      <c r="I61" s="15">
        <v>33</v>
      </c>
      <c r="J61" s="15">
        <v>68.516120210724367</v>
      </c>
      <c r="K61" s="15">
        <v>70</v>
      </c>
      <c r="L61" s="15">
        <v>1.4838797892756332</v>
      </c>
      <c r="M61" s="15"/>
      <c r="O61"/>
      <c r="P61"/>
      <c r="U61" s="39">
        <v>41</v>
      </c>
      <c r="V61" s="39">
        <v>21</v>
      </c>
      <c r="W61" s="39">
        <v>46.983347416426135</v>
      </c>
      <c r="X61" s="39">
        <v>39</v>
      </c>
      <c r="Y61" s="39">
        <v>-7.9833474164261347</v>
      </c>
      <c r="Z61" s="42"/>
      <c r="AA61" s="42"/>
      <c r="AB61" s="42"/>
    </row>
    <row r="62" spans="1:28">
      <c r="A62"/>
      <c r="B62"/>
      <c r="C62"/>
      <c r="D62"/>
      <c r="E62"/>
      <c r="F62"/>
      <c r="G62" s="15">
        <v>43400</v>
      </c>
      <c r="H62" s="15">
        <v>41</v>
      </c>
      <c r="I62" s="15">
        <v>21</v>
      </c>
      <c r="J62" s="15">
        <v>44.412566568665298</v>
      </c>
      <c r="K62" s="15">
        <v>39</v>
      </c>
      <c r="L62" s="15">
        <v>-5.412566568665298</v>
      </c>
      <c r="M62" s="15"/>
      <c r="O62"/>
      <c r="P62"/>
      <c r="U62" s="39">
        <v>15</v>
      </c>
      <c r="V62" s="39">
        <v>45</v>
      </c>
      <c r="W62" s="39">
        <v>76.85141145456393</v>
      </c>
      <c r="X62" s="39">
        <v>61</v>
      </c>
      <c r="Y62" s="39">
        <v>-15.85141145456393</v>
      </c>
      <c r="Z62" s="42"/>
      <c r="AA62" s="42"/>
      <c r="AB62" s="42"/>
    </row>
    <row r="63" spans="1:28">
      <c r="A63"/>
      <c r="B63"/>
      <c r="C63"/>
      <c r="D63"/>
      <c r="E63"/>
      <c r="F63"/>
      <c r="G63" s="15">
        <v>67700</v>
      </c>
      <c r="H63" s="15">
        <v>15</v>
      </c>
      <c r="I63" s="15">
        <v>45</v>
      </c>
      <c r="J63" s="15">
        <v>74.304749959312346</v>
      </c>
      <c r="K63" s="15">
        <v>61</v>
      </c>
      <c r="L63" s="15">
        <v>-13.304749959312346</v>
      </c>
      <c r="M63" s="15"/>
      <c r="O63"/>
      <c r="P63"/>
      <c r="U63" s="39">
        <v>5</v>
      </c>
      <c r="V63" s="39">
        <v>27</v>
      </c>
      <c r="W63" s="39">
        <v>35.582323573811863</v>
      </c>
      <c r="X63" s="39">
        <v>40</v>
      </c>
      <c r="Y63" s="39">
        <v>4.4176764261881374</v>
      </c>
      <c r="Z63" s="42"/>
      <c r="AA63" s="42"/>
      <c r="AB63" s="42"/>
    </row>
    <row r="64" spans="1:28">
      <c r="A64"/>
      <c r="B64"/>
      <c r="C64"/>
      <c r="D64"/>
      <c r="E64"/>
      <c r="F64"/>
      <c r="G64" s="15">
        <v>75000</v>
      </c>
      <c r="H64" s="15">
        <v>5</v>
      </c>
      <c r="I64" s="15">
        <v>27</v>
      </c>
      <c r="J64" s="15">
        <v>41.470907684652687</v>
      </c>
      <c r="K64" s="15">
        <v>40</v>
      </c>
      <c r="L64" s="15">
        <v>-1.470907684652687</v>
      </c>
      <c r="M64" s="15"/>
      <c r="O64"/>
      <c r="P64"/>
      <c r="Q64"/>
      <c r="R64"/>
      <c r="S64"/>
      <c r="T64"/>
      <c r="U64"/>
      <c r="V64"/>
      <c r="W64"/>
    </row>
    <row r="65" spans="1:30">
      <c r="A65"/>
      <c r="B65"/>
      <c r="C65"/>
      <c r="D65"/>
      <c r="E65"/>
      <c r="F65"/>
      <c r="G65"/>
      <c r="O65"/>
      <c r="P65"/>
      <c r="Q65"/>
      <c r="R65"/>
      <c r="S65"/>
      <c r="T65"/>
      <c r="U65"/>
      <c r="V65"/>
      <c r="W65"/>
    </row>
    <row r="66" spans="1:30">
      <c r="A66"/>
      <c r="B66"/>
      <c r="C66"/>
      <c r="D66"/>
      <c r="E66"/>
      <c r="F66"/>
      <c r="G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>
      <c r="A67"/>
      <c r="B67"/>
      <c r="C67"/>
      <c r="D67"/>
      <c r="E67"/>
      <c r="F67"/>
      <c r="G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 spans="1:30">
      <c r="A68"/>
      <c r="B68"/>
      <c r="C68"/>
      <c r="D68"/>
      <c r="E68"/>
      <c r="F68"/>
      <c r="G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</sheetData>
  <mergeCells count="3">
    <mergeCell ref="A1:AB1"/>
    <mergeCell ref="G10:J10"/>
    <mergeCell ref="G19:M19"/>
  </mergeCells>
  <pageMargins left="0.78740157480314954" right="0.39370078740157477" top="0.98307086614173222" bottom="0.9448818897637794" header="0.39370078740157477" footer="0.39370078740157477"/>
  <headerFooter alignWithMargins="0">
    <oddHeader>&amp;C&amp;P</oddHeader>
  </headerFooter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zoomScale="67" workbookViewId="0">
      <selection activeCell="D33" sqref="D33"/>
    </sheetView>
  </sheetViews>
  <sheetFormatPr defaultRowHeight="15"/>
  <cols>
    <col min="1" max="1" width="11.88671875" customWidth="1"/>
    <col min="2" max="2" width="27.21875" customWidth="1"/>
    <col min="3" max="3" width="25.6640625" customWidth="1"/>
    <col min="4" max="4" width="37.6640625" customWidth="1"/>
    <col min="5" max="5" width="25" customWidth="1"/>
    <col min="6" max="18" width="11.88671875" customWidth="1"/>
    <col min="19" max="19" width="66" customWidth="1"/>
  </cols>
  <sheetData>
    <row r="1" spans="1:28" ht="17.399999999999999">
      <c r="A1" s="17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31.2">
      <c r="A2" s="4" t="s">
        <v>0</v>
      </c>
      <c r="B2" s="3" t="s">
        <v>1</v>
      </c>
      <c r="C2" s="3" t="s">
        <v>3</v>
      </c>
      <c r="D2" s="3" t="s">
        <v>4</v>
      </c>
      <c r="E2" s="3" t="s">
        <v>5</v>
      </c>
      <c r="F2" s="26" t="s">
        <v>46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  <c r="M2" s="15"/>
      <c r="N2" s="15"/>
    </row>
    <row r="3" spans="1:28" ht="15.6">
      <c r="A3" s="5" t="s">
        <v>6</v>
      </c>
      <c r="B3" s="3"/>
      <c r="C3" s="3"/>
      <c r="D3" s="3"/>
      <c r="E3" s="3"/>
      <c r="F3" s="26" t="s">
        <v>18</v>
      </c>
      <c r="H3" s="15" t="s">
        <v>13</v>
      </c>
      <c r="I3" s="15">
        <f>CORREL(Лист3!$B$4:$B$27, Лист3!$B$4:$B$27)</f>
        <v>1</v>
      </c>
      <c r="J3" s="15"/>
      <c r="K3" s="15"/>
      <c r="L3" s="15"/>
      <c r="M3" s="15"/>
      <c r="N3" s="15"/>
    </row>
    <row r="4" spans="1:28" ht="15.6">
      <c r="A4" s="5">
        <v>1</v>
      </c>
      <c r="B4" s="1">
        <v>60</v>
      </c>
      <c r="C4" s="1">
        <v>35</v>
      </c>
      <c r="D4" s="1">
        <v>59</v>
      </c>
      <c r="E4" s="1">
        <v>31</v>
      </c>
      <c r="F4" s="45">
        <f>$I$34+$I$35*C4+$I$36*D4+$I$37*E4</f>
        <v>66.173657424707997</v>
      </c>
      <c r="H4" s="15" t="s">
        <v>14</v>
      </c>
      <c r="I4" s="15">
        <f>CORREL(Лист3!$B$4:$B$27, Лист3!$C$4:$C$27)</f>
        <v>0.70450764326061499</v>
      </c>
      <c r="J4" s="15">
        <f>CORREL(Лист3!$C$4:$C$27, Лист3!$C$4:$C$27)</f>
        <v>0.99999999999999978</v>
      </c>
      <c r="K4" s="15"/>
      <c r="L4" s="15"/>
      <c r="M4" s="15"/>
      <c r="N4" s="15"/>
    </row>
    <row r="5" spans="1:28" ht="15.6">
      <c r="A5" s="5">
        <v>2</v>
      </c>
      <c r="B5" s="1">
        <v>34</v>
      </c>
      <c r="C5" s="1">
        <v>22</v>
      </c>
      <c r="D5" s="1">
        <v>24</v>
      </c>
      <c r="E5" s="1">
        <v>22</v>
      </c>
      <c r="F5" s="45">
        <f>$I$34+$I$35*C5+$I$36*D5+$I$37*E5</f>
        <v>35.166983903134771</v>
      </c>
      <c r="H5" s="15" t="s">
        <v>15</v>
      </c>
      <c r="I5" s="15">
        <f>CORREL(Лист3!$B$4:$B$27, Лист3!$D$4:$D$27)</f>
        <v>0.65969181102783114</v>
      </c>
      <c r="J5" s="15">
        <f>CORREL(Лист3!$C$4:$C$27, Лист3!$D$4:$D$27)</f>
        <v>0.57200406360104683</v>
      </c>
      <c r="K5" s="15">
        <f>CORREL(Лист3!$D$4:$D$27, Лист3!$D$4:$D$27)</f>
        <v>1</v>
      </c>
      <c r="L5" s="15"/>
      <c r="M5" s="15"/>
      <c r="N5" s="15"/>
    </row>
    <row r="6" spans="1:28" ht="15.6">
      <c r="A6" s="5">
        <v>3</v>
      </c>
      <c r="B6" s="1">
        <v>56</v>
      </c>
      <c r="C6" s="1">
        <v>32</v>
      </c>
      <c r="D6" s="1">
        <v>54</v>
      </c>
      <c r="E6" s="1">
        <v>27</v>
      </c>
      <c r="F6" s="45">
        <f>$I$34+$I$35*C6+$I$36*D6+$I$37*E6</f>
        <v>56.323154321218965</v>
      </c>
      <c r="H6" s="15" t="s">
        <v>16</v>
      </c>
      <c r="I6" s="15">
        <f>CORREL(Лист3!$B$4:$B$27, Лист3!$E$4:$E$27)</f>
        <v>0.9067195489737121</v>
      </c>
      <c r="J6" s="15">
        <f>CORREL(Лист3!$C$4:$C$27, Лист3!$E$4:$E$27)</f>
        <v>0.49925008776132856</v>
      </c>
      <c r="K6" s="15">
        <f>CORREL(Лист3!$D$4:$D$27, Лист3!$E$4:$E$27)</f>
        <v>0.39876649614723464</v>
      </c>
      <c r="L6" s="15">
        <f>CORREL(Лист3!$E$4:$E$27, Лист3!$E$4:$E$27)</f>
        <v>1.0000000000000002</v>
      </c>
      <c r="M6" s="15"/>
      <c r="N6" s="15"/>
    </row>
    <row r="7" spans="1:28" ht="15.6">
      <c r="A7" s="5">
        <v>4</v>
      </c>
      <c r="B7" s="1">
        <v>30</v>
      </c>
      <c r="C7" s="1">
        <v>16</v>
      </c>
      <c r="D7" s="1">
        <v>20</v>
      </c>
      <c r="E7" s="1">
        <v>17</v>
      </c>
      <c r="F7" s="45">
        <f>$I$34+$I$35*C7+$I$36*D7+$I$37*E7</f>
        <v>22.584132212709065</v>
      </c>
      <c r="H7" s="15"/>
      <c r="I7" s="15"/>
      <c r="J7" s="15"/>
      <c r="K7" s="15"/>
      <c r="L7" s="15"/>
      <c r="M7" s="15"/>
      <c r="N7" s="15"/>
    </row>
    <row r="8" spans="1:28" ht="15.6">
      <c r="A8" s="5">
        <v>5</v>
      </c>
      <c r="B8" s="1">
        <v>56</v>
      </c>
      <c r="C8" s="1">
        <v>30</v>
      </c>
      <c r="D8" s="1">
        <v>51</v>
      </c>
      <c r="E8" s="1">
        <v>25</v>
      </c>
      <c r="F8" s="45">
        <f>$I$34+$I$35*C8+$I$36*D8+$I$37*E8</f>
        <v>51.068170650082735</v>
      </c>
      <c r="H8" s="15" t="s">
        <v>19</v>
      </c>
      <c r="I8" s="15"/>
      <c r="J8" s="15"/>
      <c r="K8" s="15"/>
      <c r="L8" s="15"/>
      <c r="M8" s="15"/>
      <c r="N8" s="15"/>
    </row>
    <row r="9" spans="1:28" ht="15.6">
      <c r="A9" s="5">
        <v>6</v>
      </c>
      <c r="B9" s="1">
        <v>34</v>
      </c>
      <c r="C9" s="1">
        <v>33</v>
      </c>
      <c r="D9" s="1">
        <v>33</v>
      </c>
      <c r="E9" s="1">
        <v>21</v>
      </c>
      <c r="F9" s="45">
        <f>$I$34+$I$35*C9+$I$36*D9+$I$37*E9</f>
        <v>40.048372357568184</v>
      </c>
      <c r="H9" s="15" t="s">
        <v>20</v>
      </c>
      <c r="I9" s="15" t="s">
        <v>21</v>
      </c>
      <c r="J9" s="15"/>
      <c r="K9" s="15"/>
      <c r="L9" s="15"/>
      <c r="M9" s="15"/>
      <c r="N9" s="15"/>
    </row>
    <row r="10" spans="1:28" ht="15.6">
      <c r="A10" s="5">
        <v>7</v>
      </c>
      <c r="B10" s="1">
        <v>80</v>
      </c>
      <c r="C10" s="1">
        <v>41</v>
      </c>
      <c r="D10" s="1">
        <v>75</v>
      </c>
      <c r="E10" s="1">
        <v>35</v>
      </c>
      <c r="F10" s="45">
        <f>$I$34+$I$35*C10+$I$36*D10+$I$37*E10</f>
        <v>80.160902980010832</v>
      </c>
      <c r="H10" s="15"/>
      <c r="I10" s="15"/>
      <c r="J10" s="15"/>
      <c r="K10" s="15"/>
      <c r="L10" s="15"/>
      <c r="M10" s="15"/>
      <c r="N10" s="15"/>
    </row>
    <row r="11" spans="1:28" ht="15.6">
      <c r="A11" s="5">
        <v>8</v>
      </c>
      <c r="B11" s="1">
        <v>48</v>
      </c>
      <c r="C11" s="1">
        <v>27</v>
      </c>
      <c r="D11" s="1">
        <v>38</v>
      </c>
      <c r="E11" s="1">
        <v>25</v>
      </c>
      <c r="F11" s="45">
        <f>$I$34+$I$35*C11+$I$36*D11+$I$37*E11</f>
        <v>46.391840764403035</v>
      </c>
      <c r="H11" s="15" t="s">
        <v>22</v>
      </c>
      <c r="I11" s="15"/>
      <c r="J11" s="15"/>
      <c r="K11" s="15"/>
      <c r="L11" s="15"/>
      <c r="M11" s="15"/>
      <c r="N11" s="15"/>
    </row>
    <row r="12" spans="1:28" ht="15.6">
      <c r="A12" s="5">
        <v>9</v>
      </c>
      <c r="B12" s="1">
        <v>28</v>
      </c>
      <c r="C12" s="1">
        <v>35</v>
      </c>
      <c r="D12" s="1">
        <v>26</v>
      </c>
      <c r="E12" s="1">
        <v>19</v>
      </c>
      <c r="F12" s="45">
        <f>$I$34+$I$35*C12+$I$36*D12+$I$37*E12</f>
        <v>35.272895906102022</v>
      </c>
      <c r="H12" s="15">
        <f t="array" ref="H12:K16">LINEST($B$4:$B$27, $C$4:$E$27, 1, 1)</f>
        <v>1.8331307383182269</v>
      </c>
      <c r="I12" s="15">
        <v>0.2697937169329469</v>
      </c>
      <c r="J12" s="15">
        <v>0.38967052185046464</v>
      </c>
      <c r="K12" s="15">
        <v>-20.209693026967166</v>
      </c>
      <c r="L12" s="15"/>
      <c r="M12" s="15"/>
      <c r="N12" s="15"/>
    </row>
    <row r="13" spans="1:28" ht="15.6">
      <c r="A13" s="5">
        <v>10</v>
      </c>
      <c r="B13" s="1">
        <v>58</v>
      </c>
      <c r="C13" s="1">
        <v>31</v>
      </c>
      <c r="D13" s="1">
        <v>54</v>
      </c>
      <c r="E13" s="1">
        <v>27</v>
      </c>
      <c r="F13" s="45">
        <f>$I$34+$I$35*C13+$I$36*D13+$I$37*E13</f>
        <v>55.933483799368503</v>
      </c>
      <c r="H13" s="15">
        <v>0.14967042009330656</v>
      </c>
      <c r="I13" s="15">
        <v>6.1681073927047116E-2</v>
      </c>
      <c r="J13" s="15">
        <v>0.12174589225105385</v>
      </c>
      <c r="K13" s="15">
        <v>4.0973217906162818</v>
      </c>
      <c r="L13" s="15"/>
      <c r="M13" s="15"/>
      <c r="N13" s="15"/>
    </row>
    <row r="14" spans="1:28" ht="15.6">
      <c r="A14" s="5">
        <v>11</v>
      </c>
      <c r="B14" s="1">
        <v>68</v>
      </c>
      <c r="C14" s="1">
        <v>37</v>
      </c>
      <c r="D14" s="1">
        <v>65</v>
      </c>
      <c r="E14" s="1">
        <v>33</v>
      </c>
      <c r="F14" s="45">
        <f>$I$34+$I$35*C14+$I$36*D14+$I$37*E14</f>
        <v>72.238022246643055</v>
      </c>
      <c r="H14" s="15">
        <v>0.95227037879502141</v>
      </c>
      <c r="I14" s="15">
        <v>5.5560712745614289</v>
      </c>
      <c r="J14" s="15" t="e">
        <v>#N/A</v>
      </c>
      <c r="K14" s="15" t="e">
        <v>#N/A</v>
      </c>
      <c r="L14" s="15"/>
      <c r="M14" s="15"/>
      <c r="N14" s="15"/>
    </row>
    <row r="15" spans="1:28" ht="15.6">
      <c r="A15" s="5">
        <v>12</v>
      </c>
      <c r="B15" s="1">
        <v>38</v>
      </c>
      <c r="C15" s="1">
        <v>23</v>
      </c>
      <c r="D15" s="1">
        <v>34</v>
      </c>
      <c r="E15" s="1">
        <v>21</v>
      </c>
      <c r="F15" s="45">
        <f>$I$34+$I$35*C15+$I$36*D15+$I$37*E15</f>
        <v>36.421460855996479</v>
      </c>
      <c r="H15" s="15">
        <v>133.00900010714125</v>
      </c>
      <c r="I15" s="15">
        <v>20</v>
      </c>
      <c r="J15" s="15" t="e">
        <v>#N/A</v>
      </c>
      <c r="K15" s="15" t="e">
        <v>#N/A</v>
      </c>
      <c r="L15" s="15"/>
      <c r="M15" s="15"/>
      <c r="N15" s="15"/>
    </row>
    <row r="16" spans="1:28" ht="15.6">
      <c r="A16" s="5">
        <v>13</v>
      </c>
      <c r="B16" s="1">
        <v>32</v>
      </c>
      <c r="C16" s="1">
        <v>17</v>
      </c>
      <c r="D16" s="1">
        <v>30</v>
      </c>
      <c r="E16" s="1">
        <v>19</v>
      </c>
      <c r="F16" s="45">
        <f>$I$34+$I$35*C16+$I$36*D16+$I$37*E16</f>
        <v>29.338001380525448</v>
      </c>
      <c r="H16" s="15">
        <v>12317.934773173201</v>
      </c>
      <c r="I16" s="15">
        <v>617.39856016013323</v>
      </c>
      <c r="J16" s="15" t="e">
        <v>#N/A</v>
      </c>
      <c r="K16" s="15" t="e">
        <v>#N/A</v>
      </c>
      <c r="L16" s="15"/>
      <c r="M16" s="15"/>
      <c r="N16" s="15"/>
    </row>
    <row r="17" spans="1:14" ht="15.6">
      <c r="A17" s="5">
        <v>14</v>
      </c>
      <c r="B17" s="1">
        <v>18</v>
      </c>
      <c r="C17" s="1">
        <v>35</v>
      </c>
      <c r="D17" s="1">
        <v>16</v>
      </c>
      <c r="E17" s="1">
        <v>15</v>
      </c>
      <c r="F17" s="45">
        <f>$I$34+$I$35*C17+$I$36*D17+$I$37*E17</f>
        <v>25.242435783499648</v>
      </c>
      <c r="H17" s="15"/>
      <c r="I17" s="15"/>
      <c r="J17" s="15"/>
      <c r="K17" s="15"/>
      <c r="L17" s="15"/>
      <c r="M17" s="15"/>
      <c r="N17" s="15"/>
    </row>
    <row r="18" spans="1:14" ht="15.6">
      <c r="A18" s="5">
        <v>15</v>
      </c>
      <c r="B18" s="1">
        <v>52</v>
      </c>
      <c r="C18" s="1">
        <v>31</v>
      </c>
      <c r="D18" s="1">
        <v>48</v>
      </c>
      <c r="E18" s="1">
        <v>23</v>
      </c>
      <c r="F18" s="45">
        <f>$I$34+$I$35*C18+$I$36*D18+$I$37*E18</f>
        <v>46.982198544497905</v>
      </c>
      <c r="H18" s="15" t="s">
        <v>23</v>
      </c>
      <c r="I18" s="15"/>
      <c r="J18" s="15"/>
      <c r="K18" s="15"/>
      <c r="L18" s="15"/>
      <c r="M18" s="15"/>
      <c r="N18" s="15"/>
    </row>
    <row r="19" spans="1:14" ht="15.6">
      <c r="A19" s="5">
        <v>16</v>
      </c>
      <c r="B19" s="1">
        <v>78</v>
      </c>
      <c r="C19" s="1">
        <v>40</v>
      </c>
      <c r="D19" s="1">
        <v>70</v>
      </c>
      <c r="E19" s="1">
        <v>37</v>
      </c>
      <c r="F19" s="45">
        <f>$I$34+$I$35*C19+$I$36*D19+$I$37*E19</f>
        <v>82.088525350132102</v>
      </c>
      <c r="H19" s="15" t="s">
        <v>24</v>
      </c>
      <c r="I19" s="15">
        <f>$H$14</f>
        <v>0.95227037879502141</v>
      </c>
      <c r="J19" s="15"/>
      <c r="K19" s="15"/>
      <c r="L19" s="15"/>
      <c r="M19" s="15"/>
      <c r="N19" s="15"/>
    </row>
    <row r="20" spans="1:14" ht="15.6">
      <c r="A20" s="5">
        <v>17</v>
      </c>
      <c r="B20" s="1">
        <v>98</v>
      </c>
      <c r="C20" s="1">
        <v>53</v>
      </c>
      <c r="D20" s="1">
        <v>92</v>
      </c>
      <c r="E20" s="1">
        <v>41</v>
      </c>
      <c r="F20" s="45">
        <f>$I$34+$I$35*C20+$I$36*D20+$I$37*E20</f>
        <v>100.42222685998587</v>
      </c>
      <c r="H20" s="15" t="s">
        <v>25</v>
      </c>
      <c r="I20" s="15">
        <f>$I$14</f>
        <v>5.5560712745614289</v>
      </c>
      <c r="J20" s="15"/>
      <c r="K20" s="15"/>
      <c r="L20" s="15"/>
      <c r="M20" s="15"/>
      <c r="N20" s="15"/>
    </row>
    <row r="21" spans="1:14" ht="15.6">
      <c r="A21" s="5">
        <v>18</v>
      </c>
      <c r="B21" s="1">
        <v>96</v>
      </c>
      <c r="C21" s="1">
        <v>51</v>
      </c>
      <c r="D21" s="1">
        <v>90</v>
      </c>
      <c r="E21" s="1">
        <v>37</v>
      </c>
      <c r="F21" s="45">
        <f>$I$34+$I$35*C21+$I$36*D21+$I$37*E21</f>
        <v>91.770775429146155</v>
      </c>
      <c r="H21" s="15" t="s">
        <v>26</v>
      </c>
      <c r="I21" s="15">
        <f>3</f>
        <v>3</v>
      </c>
      <c r="J21" s="15"/>
      <c r="K21" s="15"/>
      <c r="L21" s="15"/>
      <c r="M21" s="15"/>
      <c r="N21" s="15"/>
    </row>
    <row r="22" spans="1:14" ht="15.6">
      <c r="A22" s="5">
        <v>19</v>
      </c>
      <c r="B22" s="1">
        <v>92</v>
      </c>
      <c r="C22" s="1">
        <v>51</v>
      </c>
      <c r="D22" s="1">
        <v>22</v>
      </c>
      <c r="E22" s="1">
        <v>42</v>
      </c>
      <c r="F22" s="45">
        <f>$I$34+$I$35*C22+$I$36*D22+$I$37*E22</f>
        <v>82.590456369296902</v>
      </c>
      <c r="H22" s="15" t="s">
        <v>27</v>
      </c>
      <c r="I22" s="15">
        <f>24</f>
        <v>24</v>
      </c>
      <c r="J22" s="15"/>
      <c r="K22" s="15"/>
      <c r="L22" s="15"/>
      <c r="M22" s="15"/>
      <c r="N22" s="15"/>
    </row>
    <row r="23" spans="1:14" ht="15.6">
      <c r="A23" s="5">
        <v>20</v>
      </c>
      <c r="B23" s="1">
        <v>94</v>
      </c>
      <c r="C23" s="1">
        <v>52</v>
      </c>
      <c r="D23" s="1">
        <v>35</v>
      </c>
      <c r="E23" s="1">
        <v>45</v>
      </c>
      <c r="F23" s="45">
        <f>$I$34+$I$35*C23+$I$36*D23+$I$37*E23</f>
        <v>91.986837426230352</v>
      </c>
      <c r="H23" s="15" t="s">
        <v>29</v>
      </c>
      <c r="I23" s="15">
        <f>1 - (1 - $H$14)*($I$22 - 1)/($I$22 - $I$21 - 1)</f>
        <v>0.94511093561427462</v>
      </c>
      <c r="J23" s="15"/>
      <c r="K23" s="15"/>
      <c r="L23" s="15"/>
      <c r="M23" s="15"/>
      <c r="N23" s="15"/>
    </row>
    <row r="24" spans="1:14" ht="15.6">
      <c r="A24" s="5">
        <v>21</v>
      </c>
      <c r="B24" s="1">
        <v>70</v>
      </c>
      <c r="C24" s="1">
        <v>37</v>
      </c>
      <c r="D24" s="1">
        <v>36</v>
      </c>
      <c r="E24" s="1">
        <v>33</v>
      </c>
      <c r="F24" s="45">
        <f>$I$34+$I$35*C24+$I$36*D24+$I$37*E24</f>
        <v>64.414004455587602</v>
      </c>
      <c r="H24" s="15"/>
      <c r="I24" s="15"/>
      <c r="J24" s="15"/>
      <c r="K24" s="15"/>
      <c r="L24" s="15"/>
      <c r="M24" s="15"/>
      <c r="N24" s="15"/>
    </row>
    <row r="25" spans="1:14" ht="15.6">
      <c r="A25" s="5">
        <v>22</v>
      </c>
      <c r="B25" s="1">
        <v>39</v>
      </c>
      <c r="C25" s="1">
        <v>41</v>
      </c>
      <c r="D25" s="1">
        <v>24</v>
      </c>
      <c r="E25" s="1">
        <v>21</v>
      </c>
      <c r="F25" s="45">
        <f>$I$34+$I$35*C25+$I$36*D25+$I$37*E25</f>
        <v>40.737593079975376</v>
      </c>
      <c r="H25" s="15" t="s">
        <v>31</v>
      </c>
      <c r="I25" s="15"/>
      <c r="J25" s="15"/>
      <c r="K25" s="15"/>
      <c r="L25" s="15"/>
      <c r="M25" s="15"/>
      <c r="N25" s="15"/>
    </row>
    <row r="26" spans="1:14" ht="15.6">
      <c r="A26" s="5">
        <v>23</v>
      </c>
      <c r="B26" s="1">
        <v>61</v>
      </c>
      <c r="C26" s="1">
        <v>15</v>
      </c>
      <c r="D26" s="1">
        <v>12</v>
      </c>
      <c r="E26" s="1">
        <v>45</v>
      </c>
      <c r="F26" s="45">
        <f>$I$34+$I$35*C26+$I$36*D26+$I$37*E26</f>
        <v>71.363772628305384</v>
      </c>
      <c r="H26" s="15"/>
      <c r="I26" s="15" t="s">
        <v>32</v>
      </c>
      <c r="J26" s="15" t="s">
        <v>33</v>
      </c>
      <c r="K26" s="15" t="s">
        <v>34</v>
      </c>
      <c r="L26" s="15" t="s">
        <v>35</v>
      </c>
      <c r="M26" s="15" t="s">
        <v>36</v>
      </c>
      <c r="N26" s="15"/>
    </row>
    <row r="27" spans="1:14" ht="15.6">
      <c r="A27" s="5">
        <v>24</v>
      </c>
      <c r="B27" s="1">
        <v>40</v>
      </c>
      <c r="C27" s="1">
        <v>5</v>
      </c>
      <c r="D27" s="1">
        <v>15</v>
      </c>
      <c r="E27" s="1">
        <v>27</v>
      </c>
      <c r="F27" s="45">
        <f>$I$34+$I$35*C27+$I$36*D27+$I$37*E27</f>
        <v>35.280095270871492</v>
      </c>
      <c r="H27" s="15" t="s">
        <v>37</v>
      </c>
      <c r="I27" s="15">
        <f>$I$21</f>
        <v>3</v>
      </c>
      <c r="J27" s="15">
        <f>$H$16</f>
        <v>12317.934773173201</v>
      </c>
      <c r="K27" s="15">
        <f>$H$16 / $I$27</f>
        <v>4105.9782577244005</v>
      </c>
      <c r="L27" s="15">
        <f>$H$15</f>
        <v>133.00900010714125</v>
      </c>
      <c r="M27" s="15">
        <f>_xlfn.F.DIST.RT($H$15, $I$27, $I$15)</f>
        <v>2.2205686891233881E-13</v>
      </c>
      <c r="N27" s="15"/>
    </row>
    <row r="28" spans="1:14" ht="13.2">
      <c r="A28" s="25"/>
      <c r="B28" s="25" t="s">
        <v>7</v>
      </c>
      <c r="C28" s="25" t="s">
        <v>9</v>
      </c>
      <c r="D28" s="25" t="s">
        <v>10</v>
      </c>
      <c r="E28" s="25" t="s">
        <v>11</v>
      </c>
      <c r="F28" s="25"/>
      <c r="H28" s="15" t="s">
        <v>38</v>
      </c>
      <c r="I28" s="15">
        <f>$I$15</f>
        <v>20</v>
      </c>
      <c r="J28" s="15">
        <f>$I$16</f>
        <v>617.39856016013323</v>
      </c>
      <c r="K28" s="15">
        <f>$I$16 / $I$15</f>
        <v>30.86992800800666</v>
      </c>
      <c r="L28" s="15"/>
      <c r="M28" s="15"/>
      <c r="N28" s="15"/>
    </row>
    <row r="29" spans="1:14" ht="13.2">
      <c r="H29" s="15" t="s">
        <v>39</v>
      </c>
      <c r="I29" s="15">
        <f>$I$27 + $I$15</f>
        <v>23</v>
      </c>
      <c r="J29" s="15">
        <f>$H$16 + $I$16</f>
        <v>12935.333333333334</v>
      </c>
      <c r="K29" s="15"/>
      <c r="L29" s="15"/>
      <c r="M29" s="15"/>
      <c r="N29" s="15"/>
    </row>
    <row r="30" spans="1:14" ht="13.2">
      <c r="H30" s="15"/>
      <c r="I30" s="15"/>
      <c r="J30" s="15"/>
      <c r="K30" s="15"/>
      <c r="L30" s="15"/>
      <c r="M30" s="15"/>
      <c r="N30" s="15"/>
    </row>
    <row r="31" spans="1:14" ht="13.2">
      <c r="H31" s="15" t="s">
        <v>40</v>
      </c>
      <c r="I31" s="15">
        <v>0.95</v>
      </c>
      <c r="J31" s="15"/>
      <c r="K31" s="15"/>
      <c r="L31" s="15"/>
      <c r="M31" s="15"/>
      <c r="N31" s="15"/>
    </row>
    <row r="32" spans="1:14" ht="13.2">
      <c r="H32" s="15"/>
      <c r="I32" s="15"/>
      <c r="J32" s="15"/>
      <c r="K32" s="15"/>
      <c r="L32" s="15"/>
      <c r="M32" s="15"/>
      <c r="N32" s="15"/>
    </row>
    <row r="33" spans="8:15" ht="13.2">
      <c r="H33" s="15"/>
      <c r="I33" s="15" t="s">
        <v>41</v>
      </c>
      <c r="J33" s="15" t="s">
        <v>25</v>
      </c>
      <c r="K33" s="15" t="s">
        <v>42</v>
      </c>
      <c r="L33" s="15" t="s">
        <v>43</v>
      </c>
      <c r="M33" s="15" t="e">
        <f ca="1">COM.MICROSOFT.CONCAT("Нижний ", INT($I$31 * 100), "%")</f>
        <v>#NAME?</v>
      </c>
      <c r="N33" s="15" t="e">
        <f ca="1">COM.MICROSOFT.CONCAT("Верхний ", INT($I$31 * 100), "%")</f>
        <v>#NAME?</v>
      </c>
    </row>
    <row r="34" spans="8:15" ht="13.2">
      <c r="H34" s="15" t="str">
        <f>"Пересечение"</f>
        <v>Пересечение</v>
      </c>
      <c r="I34" s="15">
        <f t="array" ref="I34:I37">INDEX($H$12:$K$12, 1, ROW($I$37)+1 - ROW())</f>
        <v>-20.209693026967166</v>
      </c>
      <c r="J34" s="15">
        <f t="array" ref="J34:J37">INDEX($H$13:$K$13, 1, ROW($J$37)+1 - ROW())</f>
        <v>4.0973217906162818</v>
      </c>
      <c r="K34" s="15">
        <f t="array" ref="K34:K37">$I$34:$I$37 / $J$34:$J$37</f>
        <v>-4.9324153824704622</v>
      </c>
      <c r="L34" s="15">
        <f t="array" ref="L34:L37">TDIST(ABS($K$34:$K$37), $I$15, 2 )</f>
        <v>8.0295558635347646E-5</v>
      </c>
      <c r="M34" s="15">
        <f t="array" ref="M34:M37">$I$34:$I$37 - $J$34:$J$37 * _xlfn.T.INV.2T(1 - $I$31, $I$15)</f>
        <v>-28.75655651387865</v>
      </c>
      <c r="N34" s="15">
        <f t="array" ref="N34:N37">$I$34:$I$37 + $J$34:$J$37 * _xlfn.T.INV.2T(1 - $I$31, $I$15)</f>
        <v>-11.662829540055681</v>
      </c>
    </row>
    <row r="35" spans="8:15" ht="13.2">
      <c r="H35" s="15" t="str">
        <f>"X1"</f>
        <v>X1</v>
      </c>
      <c r="I35" s="15">
        <v>0.38967052185046464</v>
      </c>
      <c r="J35" s="15">
        <v>0.12174589225105385</v>
      </c>
      <c r="K35" s="15">
        <v>3.2006872235731763</v>
      </c>
      <c r="L35" s="15">
        <v>4.4891688464544569E-3</v>
      </c>
      <c r="M35" s="15">
        <v>0.13571304075999779</v>
      </c>
      <c r="N35" s="15">
        <v>0.64362800294093148</v>
      </c>
    </row>
    <row r="36" spans="8:15" ht="13.2">
      <c r="H36" s="15" t="str">
        <f>"X2"</f>
        <v>X2</v>
      </c>
      <c r="I36" s="15">
        <v>0.2697937169329469</v>
      </c>
      <c r="J36" s="15">
        <v>6.1681073927047116E-2</v>
      </c>
      <c r="K36" s="15">
        <v>4.3740113418265647</v>
      </c>
      <c r="L36" s="15">
        <v>2.9349034555930316E-4</v>
      </c>
      <c r="M36" s="15">
        <v>0.14112925133302304</v>
      </c>
      <c r="N36" s="15">
        <v>0.3984581825328708</v>
      </c>
    </row>
    <row r="37" spans="8:15" ht="13.2">
      <c r="H37" s="15" t="str">
        <f>"X3"</f>
        <v>X3</v>
      </c>
      <c r="I37" s="15">
        <v>1.8331307383182269</v>
      </c>
      <c r="J37" s="15">
        <v>0.14967042009330656</v>
      </c>
      <c r="K37" s="15">
        <v>12.247782408677871</v>
      </c>
      <c r="L37" s="15">
        <v>9.4663179921922228E-11</v>
      </c>
      <c r="M37" s="15">
        <v>1.5209237128666631</v>
      </c>
      <c r="N37" s="15">
        <v>2.145337763769791</v>
      </c>
    </row>
    <row r="38" spans="8:15" ht="13.2"/>
    <row r="39" spans="8:15" ht="13.2">
      <c r="O39" t="s">
        <v>45</v>
      </c>
    </row>
    <row r="40" spans="8:15" ht="13.2"/>
    <row r="41" spans="8:15" ht="13.2"/>
    <row r="42" spans="8:15" ht="13.2"/>
  </sheetData>
  <mergeCells count="1">
    <mergeCell ref="A1:AB1"/>
  </mergeCells>
  <pageMargins left="0.78740157480314954" right="0.39370078740157477" top="0.98307086614173222" bottom="0.9448818897637794" header="0.39370078740157477" footer="0.39370078740157477"/>
  <headerFooter alignWithMargins="0">
    <oddHeader>&amp;C&amp;P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../../../../usr/lib/libreoffice/share/template/common/ШАБЛОН_ЭЛЕКТРОННОЙ_ТАБЛИЦЫ_2019-07-22.ots</Template>
  <TotalTime>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Таблица</dc:title>
  <dc:creator>Danil Ivlev</dc:creator>
  <cp:lastModifiedBy>Danil Ivlev</cp:lastModifiedBy>
  <cp:revision>3</cp:revision>
  <dcterms:created xsi:type="dcterms:W3CDTF">2024-07-30T14:10:54Z</dcterms:created>
  <dcterms:modified xsi:type="dcterms:W3CDTF">2025-12-03T21:24:53Z</dcterms:modified>
</cp:coreProperties>
</file>